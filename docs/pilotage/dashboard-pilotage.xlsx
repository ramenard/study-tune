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Données" sheetId="2" state="visible" r:id="rId4"/>
    <sheet name="Charge" sheetId="3" state="visible" r:id="rId5"/>
    <sheet name="Avancement" sheetId="4" state="visible" r:id="rId6"/>
    <sheet name="Délais" sheetId="5" state="visible" r:id="rId7"/>
    <sheet name="Coûts" sheetId="6" state="visible" r:id="rId8"/>
    <sheet name="Risques" sheetId="7" state="visible" r:id="rId9"/>
    <sheet name="Arbitrages" sheetId="8" state="visible" r:id="rId10"/>
    <sheet name="Qualité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<sst xmlns="http://schemas.openxmlformats.org/spreadsheetml/2006/main" count="489" uniqueCount="391">
  <si>
    <t xml:space="preserve">StudyTune — Tableau de bord de pilotage</t>
  </si>
  <si>
    <t xml:space="preserve">Version v1.0.0-rc.9 · Sprint en cours : S6 · Recette et livraison · Mise à jour du 14/09/2026</t>
  </si>
  <si>
    <t xml:space="preserve">Périmètre de lecture : le projet a été réalisé par une seule personne ; la répartition de la charge simule l'équipe cible dimensionnée au cadrage. Les dates, versions, anomalies, scénarios de recette et coûts sont réels.</t>
  </si>
  <si>
    <t xml:space="preserve">Axe de pilotage</t>
  </si>
  <si>
    <t xml:space="preserve">Indicateur</t>
  </si>
  <si>
    <t xml:space="preserve">Valeur</t>
  </si>
  <si>
    <t xml:space="preserve">Cible</t>
  </si>
  <si>
    <t xml:space="preserve">Lecture</t>
  </si>
  <si>
    <t xml:space="preserve">Avancement</t>
  </si>
  <si>
    <t xml:space="preserve">Priorités Must livrées</t>
  </si>
  <si>
    <t xml:space="preserve">Aucune concession sur le périmètre indispensable.</t>
  </si>
  <si>
    <t xml:space="preserve">Versions publiées</t>
  </si>
  <si>
    <t xml:space="preserve">Un incrément démontrable à chaque jalon.</t>
  </si>
  <si>
    <t xml:space="preserve">Délais</t>
  </si>
  <si>
    <t xml:space="preserve">Jalons tenus</t>
  </si>
  <si>
    <t xml:space="preserve">Deux jalons internes dépassés, aucun jalon contractuel manqué.</t>
  </si>
  <si>
    <t xml:space="preserve">Charge</t>
  </si>
  <si>
    <t xml:space="preserve">Charge consommée</t>
  </si>
  <si>
    <t xml:space="preserve">Estimation globalement juste, mais mal répartie entre les lots.</t>
  </si>
  <si>
    <t xml:space="preserve">Écart de charge</t>
  </si>
  <si>
    <t xml:space="preserve">Sous la tolérance de 10 % fixée au cadrage.</t>
  </si>
  <si>
    <t xml:space="preserve">Coûts</t>
  </si>
  <si>
    <t xml:space="preserve">Exploitation mensuelle</t>
  </si>
  <si>
    <t xml:space="preserve">Budget d'exploitation très surdimensionné au cadrage.</t>
  </si>
  <si>
    <t xml:space="preserve">Marge brute par abonné</t>
  </si>
  <si>
    <t xml:space="preserve">L'erreur d'estimation du coût unitaire sous-évaluait la marge.</t>
  </si>
  <si>
    <t xml:space="preserve">Qualité</t>
  </si>
  <si>
    <t xml:space="preserve">Cibles qualité atteintes</t>
  </si>
  <si>
    <t xml:space="preserve">Seuils de couverture bloquants en intégration continue.</t>
  </si>
  <si>
    <t xml:space="preserve">Anomalies ouvertes</t>
  </si>
  <si>
    <t xml:space="preserve">Les dix anomalies détectées sont corrigées et rattachées à une version.</t>
  </si>
  <si>
    <t xml:space="preserve">Risques</t>
  </si>
  <si>
    <t xml:space="preserve">Risques à criticité ≥ 12</t>
  </si>
  <si>
    <t xml:space="preserve">Disponibilité de l'équipe et concentration des savoirs restent les points durs.</t>
  </si>
  <si>
    <t xml:space="preserve">Trois enseignements de pilotage</t>
  </si>
  <si>
    <t xml:space="preserve">• Les exigences non fonctionnelles — sécurité, conformité, mise en production — ont été systématiquement sous-estimées, alors que le périmètre social l'a été à l'excès.</t>
  </si>
  <si>
    <t xml:space="preserve">• Le risque de disponibilité de l'équipe figurait au registre de cadrage sans indicateur pour le surveiller : il s'est réalisé et a coûté sept semaines.</t>
  </si>
  <si>
    <t xml:space="preserve">• Le budget d'exploitation reposait sur des ordres de grandeur, non sur les grilles tarifaires des fournisseurs : l'écart atteint un facteur dix.</t>
  </si>
  <si>
    <t xml:space="preserve">Feuilles : Synthèse · Avancement · Délais · Charge · Coûts · Qualité · Risques · Arbitrages · Données (sources).</t>
  </si>
  <si>
    <t xml:space="preserve">Données source du tableau de bord</t>
  </si>
  <si>
    <t xml:space="preserve">Bleu = donnée saisie (source citée en colonne E). Toutes les autres feuilles calculent à partir d'ici.</t>
  </si>
  <si>
    <t xml:space="preserve">1. Cadrage (Bloc 1)</t>
  </si>
  <si>
    <t xml:space="preserve">Paramètre</t>
  </si>
  <si>
    <t xml:space="preserve">Unité</t>
  </si>
  <si>
    <t xml:space="preserve">Source</t>
  </si>
  <si>
    <t xml:space="preserve">Charge totale estimée</t>
  </si>
  <si>
    <t xml:space="preserve">j/h</t>
  </si>
  <si>
    <t xml:space="preserve">Dossier de cadrage — 8 lots</t>
  </si>
  <si>
    <t xml:space="preserve">Budget projet</t>
  </si>
  <si>
    <t xml:space="preserve">€</t>
  </si>
  <si>
    <t xml:space="preserve">Dossier de cadrage — enveloppe</t>
  </si>
  <si>
    <t xml:space="preserve">Exploitation prévue</t>
  </si>
  <si>
    <t xml:space="preserve">€/mois</t>
  </si>
  <si>
    <t xml:space="preserve">Dossier de cadrage — budget d'exploitation</t>
  </si>
  <si>
    <t xml:space="preserve">dont APIs IA (Mistral)</t>
  </si>
  <si>
    <t xml:space="preserve">Dossier de cadrage</t>
  </si>
  <si>
    <t xml:space="preserve">dont APIs IA (musique, 500 gén./mois)</t>
  </si>
  <si>
    <t xml:space="preserve">dont infrastructure</t>
  </si>
  <si>
    <t xml:space="preserve">dont hébergement front (Vercel Pro)</t>
  </si>
  <si>
    <t xml:space="preserve">dont outils et licences</t>
  </si>
  <si>
    <t xml:space="preserve">Volume cible de générations</t>
  </si>
  <si>
    <t xml:space="preserve">gén./mois</t>
  </si>
  <si>
    <t xml:space="preserve">Prix abonnement premium</t>
  </si>
  <si>
    <t xml:space="preserve">Dossier de cadrage — modèle freemium</t>
  </si>
  <si>
    <t xml:space="preserve">2. Coûts réels d'exploitation</t>
  </si>
  <si>
    <t xml:space="preserve">Poste</t>
  </si>
  <si>
    <t xml:space="preserve">VPS OVH</t>
  </si>
  <si>
    <t xml:space="preserve">Facture OVH — communiqué par le chef de projet</t>
  </si>
  <si>
    <t xml:space="preserve">Object Storage OVH (GRA)</t>
  </si>
  <si>
    <t xml:space="preserve">Nom de domaine</t>
  </si>
  <si>
    <t xml:space="preserve">€/an</t>
  </si>
  <si>
    <t xml:space="preserve">Facture registrar — communiqué par le chef de projet</t>
  </si>
  <si>
    <t xml:space="preserve">Mistral (fiche, paroles, modération)</t>
  </si>
  <si>
    <t xml:space="preserve">Facturation à l'usage depuis le 14/09 — 0,01 € constaté sur 43 appels</t>
  </si>
  <si>
    <t xml:space="preserve">Hébergement front</t>
  </si>
  <si>
    <t xml:space="preserve">Servi par le VPS (arbitrage Vercel → VPS)</t>
  </si>
  <si>
    <t xml:space="preserve">Total exploitation réelle</t>
  </si>
  <si>
    <t xml:space="preserve">3. Tarification des générations</t>
  </si>
  <si>
    <t xml:space="preserve">Prix du pack Kie.ai</t>
  </si>
  <si>
    <t xml:space="preserve">$</t>
  </si>
  <si>
    <t xml:space="preserve">Grille tarifaire Kie.ai — communiquée par le chef de projet</t>
  </si>
  <si>
    <t xml:space="preserve">Tokens par pack</t>
  </si>
  <si>
    <t xml:space="preserve">tokens</t>
  </si>
  <si>
    <t xml:space="preserve">Grille tarifaire Kie.ai</t>
  </si>
  <si>
    <t xml:space="preserve">Tokens par génération musicale</t>
  </si>
  <si>
    <t xml:space="preserve">Mesuré en production (dossier Bloc 4)</t>
  </si>
  <si>
    <t xml:space="preserve">Taux de change retenu</t>
  </si>
  <si>
    <t xml:space="preserve">€/$</t>
  </si>
  <si>
    <t xml:space="preserve">Hypothèse de conversion — à réactualiser</t>
  </si>
  <si>
    <t xml:space="preserve">Générations mesurées par abonné</t>
  </si>
  <si>
    <t xml:space="preserve">Hypothèse de modélisation de la marge</t>
  </si>
  <si>
    <t xml:space="preserve">Générations du relevé de consommation texte</t>
  </si>
  <si>
    <t xml:space="preserve">gén.</t>
  </si>
  <si>
    <t xml:space="preserve">Relevé du 14/09 : 43 appels API, ~10 générations complètes</t>
  </si>
  <si>
    <t xml:space="preserve">Marge de prudence sur le coût texte</t>
  </si>
  <si>
    <t xml:space="preserve">×</t>
  </si>
  <si>
    <t xml:space="preserve">Le coût texte dépend de la longueur du cours : relevé doublé par prudence</t>
  </si>
  <si>
    <t xml:space="preserve">Coût d'une génération ($)</t>
  </si>
  <si>
    <t xml:space="preserve">Calcul : prix du pack ÷ tokens par pack × tokens par génération</t>
  </si>
  <si>
    <t xml:space="preserve">4. Qualité (relevé au 14/09/2026)</t>
  </si>
  <si>
    <t xml:space="preserve">Tests unitaires API</t>
  </si>
  <si>
    <t xml:space="preserve">cas</t>
  </si>
  <si>
    <t xml:space="preserve">Comptage des cas dans api/src/**/*.spec.ts</t>
  </si>
  <si>
    <t xml:space="preserve">Tests unitaires client</t>
  </si>
  <si>
    <t xml:space="preserve">Comptage des cas dans client/src/**/*.spec.ts</t>
  </si>
  <si>
    <t xml:space="preserve">Tests end-to-end</t>
  </si>
  <si>
    <t xml:space="preserve">Comptage des cas dans api/test</t>
  </si>
  <si>
    <t xml:space="preserve">Seuil de couverture — instructions</t>
  </si>
  <si>
    <t xml:space="preserve">%</t>
  </si>
  <si>
    <t xml:space="preserve">api/package.json — coverageThreshold, bloquant en CI</t>
  </si>
  <si>
    <t xml:space="preserve">Seuil de couverture — branches</t>
  </si>
  <si>
    <t xml:space="preserve">Scénarios de recette</t>
  </si>
  <si>
    <t xml:space="preserve">scénarios</t>
  </si>
  <si>
    <t xml:space="preserve">docs/cahier-recettes.md</t>
  </si>
  <si>
    <t xml:space="preserve">Anomalies détectées et corrigées</t>
  </si>
  <si>
    <t xml:space="preserve">anomalies</t>
  </si>
  <si>
    <t xml:space="preserve">docs/plan-correction-bogues.md (B-01 à B-10)</t>
  </si>
  <si>
    <t xml:space="preserve">docs/plan-correction-bogues.md</t>
  </si>
  <si>
    <t xml:space="preserve">versions</t>
  </si>
  <si>
    <t xml:space="preserve">Tags Git v0.1.0 → v1.0.0-rc.9</t>
  </si>
  <si>
    <t xml:space="preserve">Charge : estimé vs réalisé</t>
  </si>
  <si>
    <t xml:space="preserve">Périmètre S0 à S6 (hors backlog v1.1). Estimations de l'équipe cible ; jours réellement consommés relevés en fin de sprint.</t>
  </si>
  <si>
    <t xml:space="preserve">Par lot</t>
  </si>
  <si>
    <t xml:space="preserve">Lot</t>
  </si>
  <si>
    <t xml:space="preserve">Estimé (j/h)</t>
  </si>
  <si>
    <t xml:space="preserve">Réalisé (j/h)</t>
  </si>
  <si>
    <t xml:space="preserve">Écart (j/h)</t>
  </si>
  <si>
    <t xml:space="preserve">Écart (%)</t>
  </si>
  <si>
    <t xml:space="preserve">Commentaire</t>
  </si>
  <si>
    <t xml:space="preserve">L1 · Import du cours</t>
  </si>
  <si>
    <t xml:space="preserve">Conforme.</t>
  </si>
  <si>
    <t xml:space="preserve">L2 · Fiche &amp; paroles IA</t>
  </si>
  <si>
    <t xml:space="preserve">Cache anti-redondance livré en avance de phase.</t>
  </si>
  <si>
    <t xml:space="preserve">L3 · Musique &amp; lecteur</t>
  </si>
  <si>
    <t xml:space="preserve">Webhook du fournisseur musical et karaoké sous-estimés (anomalies B-03, B-04).</t>
  </si>
  <si>
    <t xml:space="preserve">L4 · Compte, RGPD &amp; abonnement</t>
  </si>
  <si>
    <t xml:space="preserve">Exigences RGPD mineurs et rotation des jetons sous-estimées ; Stripe déprogrammé.</t>
  </si>
  <si>
    <t xml:space="preserve">L5 · Bibliothèque &amp; playlists</t>
  </si>
  <si>
    <t xml:space="preserve">L6 · Social</t>
  </si>
  <si>
    <t xml:space="preserve">Périmètre social réduit : fonctionnalités Could livrées au minimum.</t>
  </si>
  <si>
    <t xml:space="preserve">L7 · Socle technique &amp; DevOps</t>
  </si>
  <si>
    <t xml:space="preserve">Mise en production et supervision sous-estimées (anomalie B-10).</t>
  </si>
  <si>
    <t xml:space="preserve">L8 · Pilotage</t>
  </si>
  <si>
    <t xml:space="preserve">Pilotage et documentation légèrement sous-estimés.</t>
  </si>
  <si>
    <t xml:space="preserve">TOTAL</t>
  </si>
  <si>
    <t xml:space="preserve">Par membre de l'équipe</t>
  </si>
  <si>
    <t xml:space="preserve">Membre</t>
  </si>
  <si>
    <t xml:space="preserve">Rôle</t>
  </si>
  <si>
    <t xml:space="preserve">Raphaël</t>
  </si>
  <si>
    <t xml:space="preserve">Chef de projet / tech lead</t>
  </si>
  <si>
    <t xml:space="preserve">Hugo</t>
  </si>
  <si>
    <t xml:space="preserve">Développeur front Angular</t>
  </si>
  <si>
    <t xml:space="preserve">Sofia</t>
  </si>
  <si>
    <t xml:space="preserve">Développeuse back / DevOps</t>
  </si>
  <si>
    <t xml:space="preserve">Mateo</t>
  </si>
  <si>
    <t xml:space="preserve">UX designer freelance (Montréal)</t>
  </si>
  <si>
    <t xml:space="preserve">Camille</t>
  </si>
  <si>
    <t xml:space="preserve">Product Owner</t>
  </si>
  <si>
    <t xml:space="preserve">Taux d'occupation par sprint (réalisé ÷ capacité)</t>
  </si>
  <si>
    <t xml:space="preserve">S0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</si>
  <si>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</si>
  <si>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</si>
  <si>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</si>
  <si>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</si>
  <si>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</si>
  <si>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Alerte</t>
  </si>
  <si>
    <t xml:space="preserve">Capacité = jours ouvrés du sprint × taux d'affectation au projet (1,0 pour les développeurs ; 0,5 PO ; 0,25 designer).</t>
  </si>
  <si>
    <t xml:space="preserve">Lecture : une valeur supérieure à 100 % signale un membre chargé au-delà de sa capacité sur le sprint.</t>
  </si>
  <si>
    <t xml:space="preserve">Avancement : burn-up réel</t>
  </si>
  <si>
    <t xml:space="preserve">Charge cumulée livrée à chaque jalon, datée par les versions publiées (tags Git).</t>
  </si>
  <si>
    <t xml:space="preserve">Date</t>
  </si>
  <si>
    <t xml:space="preserve">Jalon</t>
  </si>
  <si>
    <t xml:space="preserve">Version</t>
  </si>
  <si>
    <t xml:space="preserve">Cumul livré (j/h)</t>
  </si>
  <si>
    <t xml:space="preserve">Cible finale (j/h)</t>
  </si>
  <si>
    <t xml:space="preserve">Contenu</t>
  </si>
  <si>
    <t xml:space="preserve">2026-04-20</t>
  </si>
  <si>
    <t xml:space="preserve">J0 · POC</t>
  </si>
  <si>
    <t xml:space="preserve">—</t>
  </si>
  <si>
    <t xml:space="preserve">Faisabilité technique validée : fournisseur musical et LLM retenus.</t>
  </si>
  <si>
    <t xml:space="preserve">2026-06-19</t>
  </si>
  <si>
    <t xml:space="preserve">J1 · Cadrage validé</t>
  </si>
  <si>
    <t xml:space="preserve">Go du commanditaire sur le périmètre et le budget.</t>
  </si>
  <si>
    <t xml:space="preserve">2026-07-14</t>
  </si>
  <si>
    <t xml:space="preserve">J2 · MVP livré</t>
  </si>
  <si>
    <t xml:space="preserve">v0.2.0</t>
  </si>
  <si>
    <t xml:space="preserve">Parcours complet cours → fiche → musique.</t>
  </si>
  <si>
    <t xml:space="preserve">2026-07-22</t>
  </si>
  <si>
    <t xml:space="preserve">J3 · Version durcie</t>
  </si>
  <si>
    <t xml:space="preserve">v1.0.0-rc.5</t>
  </si>
  <si>
    <t xml:space="preserve">Sécurité, RGPD, tests, accessibilité, mise en production.</t>
  </si>
  <si>
    <t xml:space="preserve">2026-07-24</t>
  </si>
  <si>
    <t xml:space="preserve">J4 · Gel fonctionnel</t>
  </si>
  <si>
    <t xml:space="preserve">v1.0.0-rc.6</t>
  </si>
  <si>
    <t xml:space="preserve">Périmètre V1 gelé.</t>
  </si>
  <si>
    <t xml:space="preserve">2026-08-14</t>
  </si>
  <si>
    <t xml:space="preserve">J5 · MCO</t>
  </si>
  <si>
    <t xml:space="preserve">v1.0.0-rc.7</t>
  </si>
  <si>
    <t xml:space="preserve">Supervision et processus d'anomalies en place.</t>
  </si>
  <si>
    <t xml:space="preserve">Les dates et les versions proviennent des tags Git du dépôt. La charge est celle de l'équipe cible.</t>
  </si>
  <si>
    <t xml:space="preserve">Périmètre livré par priorité MoSCoW</t>
  </si>
  <si>
    <t xml:space="preserve">Priorité</t>
  </si>
  <si>
    <t xml:space="preserve">Éléments prévus</t>
  </si>
  <si>
    <t xml:space="preserve">Livrés</t>
  </si>
  <si>
    <t xml:space="preserve">Déprogrammés</t>
  </si>
  <si>
    <t xml:space="preserve">Taux de livraison</t>
  </si>
  <si>
    <t xml:space="preserve">Must</t>
  </si>
  <si>
    <t xml:space="preserve">Aucune concession : périmètre indispensable livré intégralement.</t>
  </si>
  <si>
    <t xml:space="preserve">Should</t>
  </si>
  <si>
    <t xml:space="preserve">Deux éléments déprogrammés : paiement en ligne (reporté en v1.1) et file asynchrone locale (abandonnée).</t>
  </si>
  <si>
    <t xml:space="preserve">Could</t>
  </si>
  <si>
    <t xml:space="preserve">Périmètre social livré au minimum utile, sans déprogrammation.</t>
  </si>
  <si>
    <t xml:space="preserve">Hors anomalies et hors backlog v1.1.</t>
  </si>
  <si>
    <t xml:space="preserve">Délais : prévu vs réel</t>
  </si>
  <si>
    <t xml:space="preserve">Les jalons de restitution étaient imposés dès le lancement ; le planning a été construit à rebours.</t>
  </si>
  <si>
    <t xml:space="preserve">Prévu</t>
  </si>
  <si>
    <t xml:space="preserve">Réel</t>
  </si>
  <si>
    <t xml:space="preserve">Écart (j)</t>
  </si>
  <si>
    <t xml:space="preserve">Analyse</t>
  </si>
  <si>
    <t xml:space="preserve">Tenu.</t>
  </si>
  <si>
    <t xml:space="preserve">2026-05-29</t>
  </si>
  <si>
    <t xml:space="preserve">Conception prolongée d'un mois par la soutenance de cadrage, puis équipe mobilisée 2,5 semaines sur un projet client.</t>
  </si>
  <si>
    <t xml:space="preserve">2026-06-26</t>
  </si>
  <si>
    <t xml:space="preserve">Retard partiellement rattrapé par la réduction du périmètre (arbitrage de périmètre).</t>
  </si>
  <si>
    <t xml:space="preserve">Tenu : jalon non négociable, atteint grâce à l'arbitrage.</t>
  </si>
  <si>
    <t xml:space="preserve">J6 · Recette et livraison</t>
  </si>
  <si>
    <t xml:space="preserve">2026-09-16</t>
  </si>
  <si>
    <t xml:space="preserve">en cours</t>
  </si>
  <si>
    <t xml:space="preserve">Sprint en cours.</t>
  </si>
  <si>
    <t xml:space="preserve">Jalons tenus à date</t>
  </si>
  <si>
    <t xml:space="preserve">Les deux jalons dépassés sont internes ; aucun jalon contractuel n'a été manqué.</t>
  </si>
  <si>
    <t xml:space="preserve">Cause racine du décalage J2 et J3</t>
  </si>
  <si>
    <t xml:space="preserve">• La préparation de la soutenance de cadrage a prolongé la phase de conception d'environ un mois.</t>
  </si>
  <si>
    <t xml:space="preserve">• L'équipe a ensuite été mobilisée deux semaines et demie sur un projet client prioritaire : 46 jours de décalage au total.</t>
  </si>
  <si>
    <t xml:space="preserve">• Conséquence : 2,5 semaines restantes pour un jalon non décalable, avec le front, la sécurité, la conformité et les tests à produire.</t>
  </si>
  <si>
    <t xml:space="preserve">• Décision : réduction du périmètre sur les priorités Should et Could, sans concession sur la qualité (voir la feuille Arbitrages).</t>
  </si>
  <si>
    <t xml:space="preserve">• Enseignement : le risque de disponibilité de l'équipe était identifié au cadrage mais n'était suivi par aucun indicateur.</t>
  </si>
  <si>
    <t xml:space="preserve">Coûts : prévu vs réel</t>
  </si>
  <si>
    <t xml:space="preserve">Coûts d'exploitation uniquement. La main d'œuvre est valorisée séparément dans le budget projet.</t>
  </si>
  <si>
    <t xml:space="preserve">Exploitation mensuelle — volume actuel</t>
  </si>
  <si>
    <t xml:space="preserve">Prévu (€/mois)</t>
  </si>
  <si>
    <t xml:space="preserve">Réel (€/mois)</t>
  </si>
  <si>
    <t xml:space="preserve">Écart</t>
  </si>
  <si>
    <t xml:space="preserve">Explication</t>
  </si>
  <si>
    <t xml:space="preserve">APIs IA — génération de texte</t>
  </si>
  <si>
    <t xml:space="preserve">Offre gratuite jusqu'au 14/09, puis facturation à l'usage : 0,01 € constaté.</t>
  </si>
  <si>
    <t xml:space="preserve">APIs IA — musique</t>
  </si>
  <si>
    <t xml:space="preserve">Un seul pack acheté sur toute la période ; le volume réel reste celui d'un service en recette.</t>
  </si>
  <si>
    <t xml:space="preserve">Infrastructure</t>
  </si>
  <si>
    <t xml:space="preserve">Un VPS et un stockage objet ont suffi, au lieu d'une infrastructure cloud complète.</t>
  </si>
  <si>
    <t xml:space="preserve">Arbitrage : front servi par le VPS, hébergement 100 % français.</t>
  </si>
  <si>
    <t xml:space="preserve">Outils et licences</t>
  </si>
  <si>
    <t xml:space="preserve">Seul le nom de domaine est payant ; le reste repose sur des offres gratuites.</t>
  </si>
  <si>
    <t xml:space="preserve">TOTAL exploitation</t>
  </si>
  <si>
    <t xml:space="preserve">Le budget d'exploitation était très surdimensionné.</t>
  </si>
  <si>
    <t xml:space="preserve">Projection au volume cible du cadrage (500 générations/mois)</t>
  </si>
  <si>
    <t xml:space="preserve">Projeté (€/mois)</t>
  </si>
  <si>
    <t xml:space="preserve">Méthode de calcul</t>
  </si>
  <si>
    <t xml:space="preserve">Volume cible × coût unitaire réel × taux de change.</t>
  </si>
  <si>
    <t xml:space="preserve">Volume cible × coût unitaire constaté, doublé par prudence.</t>
  </si>
  <si>
    <t xml:space="preserve">Autres postes</t>
  </si>
  <si>
    <t xml:space="preserve">Coûts fixes : inchangés à ce volume.</t>
  </si>
  <si>
    <t xml:space="preserve">TOTAL au volume cible</t>
  </si>
  <si>
    <t xml:space="preserve">Même au volume nominal, le budget restait surestimé d'un ordre de grandeur.</t>
  </si>
  <si>
    <t xml:space="preserve">Coût variable par génération — indépendant du volume</t>
  </si>
  <si>
    <t xml:space="preserve">Composant</t>
  </si>
  <si>
    <t xml:space="preserve">Coût unitaire</t>
  </si>
  <si>
    <t xml:space="preserve">Fiabilité</t>
  </si>
  <si>
    <t xml:space="preserve">Base de calcul</t>
  </si>
  <si>
    <t xml:space="preserve">Génération musicale</t>
  </si>
  <si>
    <t xml:space="preserve">Élevée</t>
  </si>
  <si>
    <t xml:space="preserve">Tarif fixe : 12 tokens par titre, indépendant du contenu.</t>
  </si>
  <si>
    <t xml:space="preserve">Génération de texte (marge incluse)</t>
  </si>
  <si>
    <t xml:space="preserve">Ordre de grandeur</t>
  </si>
  <si>
    <t xml:space="preserve">Dépend de la longueur du cours : relevé sur 10 générations, doublé par prudence.</t>
  </si>
  <si>
    <t xml:space="preserve">TOTAL par génération</t>
  </si>
  <si>
    <t xml:space="preserve">Seuil de rentabilité : un abonné premium couvre son coût dès la première génération.</t>
  </si>
  <si>
    <t xml:space="preserve">Effet sur le modèle économique</t>
  </si>
  <si>
    <t xml:space="preserve">Cadrage</t>
  </si>
  <si>
    <t xml:space="preserve">Coût d'appel IA par génération</t>
  </si>
  <si>
    <t xml:space="preserve">Le cadrage déduisait 0,40 € de la ligne budgétaire (200 € ÷ 500 générations), sans consulter la grille tarifaire du fournisseur.</t>
  </si>
  <si>
    <t xml:space="preserve">Coût mensuel d'un abonné premium</t>
  </si>
  <si>
    <t xml:space="preserve">20 générations par mois et par abonné, au coût unitaire complet ci-dessus.</t>
  </si>
  <si>
    <t xml:space="preserve">L'erreur d'estimation du coût unitaire sous-évaluait la marge du modèle freemium.</t>
  </si>
  <si>
    <t xml:space="preserve">Réserve : ces montants ne couvrent ni la main d'œuvre, ni le support, ni la conformité (délégué à la protection des données), qui deviennent les postes dominants à l'échelle.</t>
  </si>
  <si>
    <t xml:space="preserve">Registre des risques</t>
  </si>
  <si>
    <t xml:space="preserve">Criticité = probabilité × impact, sur une échelle de 1 à 4. Mise à jour au 11/09/2026.</t>
  </si>
  <si>
    <t xml:space="preserve">Risque</t>
  </si>
  <si>
    <t xml:space="preserve">Prob.</t>
  </si>
  <si>
    <t xml:space="preserve">Impact</t>
  </si>
  <si>
    <t xml:space="preserve">Criticité</t>
  </si>
  <si>
    <t xml:space="preserve">Mesure prise</t>
  </si>
  <si>
    <t xml:space="preserve">Statut à date</t>
  </si>
  <si>
    <t xml:space="preserve">Dépendance aux fournisseurs d'IA</t>
  </si>
  <si>
    <t xml:space="preserve">Interface d'abstraction côté musique ; modèle de langage rendu configurable par variable d'environnement.</t>
  </si>
  <si>
    <t xml:space="preserve">Survenu le 14/09 côté texte (refus du modèle par le palier d'abonnement) — corrigé en 24 h.</t>
  </si>
  <si>
    <t xml:space="preserve">Disponibilité de l'équipe en période chargée</t>
  </si>
  <si>
    <t xml:space="preserve">Aucune mesure de suivi au moment des faits.</t>
  </si>
  <si>
    <t xml:space="preserve">Survenu — décalage de 7 semaines ; suivi hebdomadaire de la capacité mis en place.</t>
  </si>
  <si>
    <t xml:space="preserve">Coût des appels IA supérieur au budget</t>
  </si>
  <si>
    <t xml:space="preserve">Cache anti-redondance et quota mensuel par utilisateur.</t>
  </si>
  <si>
    <t xml:space="preserve">Écarté — coût réel très inférieur au budget.</t>
  </si>
  <si>
    <t xml:space="preserve">Non-conformité RGPD sur un public mineur</t>
  </si>
  <si>
    <t xml:space="preserve">Contrôle d'âge, consentement parental sous 15 ans, effacement en cascade, information sur les transferts hors UE.</t>
  </si>
  <si>
    <t xml:space="preserve">Maîtrisé — réserve sur la vérification par email du responsable légal.</t>
  </si>
  <si>
    <t xml:space="preserve">Contenu inapproprié généré par l'IA</t>
  </si>
  <si>
    <t xml:space="preserve">Modération des contenus soumis avant tout appel (refus en cas d'indisponibilité).</t>
  </si>
  <si>
    <t xml:space="preserve">Partiellement couvert — modération des contenus générés inscrite en v1.1.</t>
  </si>
  <si>
    <t xml:space="preserve">Perte de résultat de génération (webhook)</t>
  </si>
  <si>
    <t xml:space="preserve">Point de rattrapage et interrogation périodique du statut.</t>
  </si>
  <si>
    <t xml:space="preserve">Maîtrisé — anomalies B-03 et B-04 corrigées.</t>
  </si>
  <si>
    <t xml:space="preserve">Indisponibilité de la production</t>
  </si>
  <si>
    <t xml:space="preserve">Sondes de santé, politique de redémarrage, supervision externe avec alerte.</t>
  </si>
  <si>
    <t xml:space="preserve">Maîtrisé — mesure livrée.</t>
  </si>
  <si>
    <t xml:space="preserve">Dette technique sur les dépendances</t>
  </si>
  <si>
    <t xml:space="preserve">Veille automatisée et audit de sécurité en intégration continue.</t>
  </si>
  <si>
    <t xml:space="preserve">Suivi — montée de version majeure du front inscrite en v1.1.</t>
  </si>
  <si>
    <t xml:space="preserve">Une seule personne maîtrise le déploiement</t>
  </si>
  <si>
    <t xml:space="preserve">Documentation de déploiement, d'utilisation et de mise à jour ; décisions d'architecture consignées.</t>
  </si>
  <si>
    <t xml:space="preserve">Résiduel — revue par un pair recommandée.</t>
  </si>
  <si>
    <t xml:space="preserve">Criticité moyenne</t>
  </si>
  <si>
    <t xml:space="preserve">Le risque de disponibilité de l'équipe s'est réalisé. Il figurait au registre de cadrage, mais aucun indicateur ne le surveillait : c'est le principal enseignement de pilotage du projet.</t>
  </si>
  <si>
    <t xml:space="preserve">Arbitrages de périmètre</t>
  </si>
  <si>
    <t xml:space="preserve">Décisions prises en comité de pilotage, tracées dans l'outil de suivi (tickets déprogrammés) et dans le journal des décisions.</t>
  </si>
  <si>
    <t xml:space="preserve">Sujet</t>
  </si>
  <si>
    <t xml:space="preserve">Problème</t>
  </si>
  <si>
    <t xml:space="preserve">Options étudiées</t>
  </si>
  <si>
    <t xml:space="preserve">Décision</t>
  </si>
  <si>
    <t xml:space="preserve">Conséquence mesurée</t>
  </si>
  <si>
    <t xml:space="preserve">File asynchrone (S2)</t>
  </si>
  <si>
    <t xml:space="preserve">La génération musicale est longue et le jalon MVP est proche.</t>
  </si>
  <si>
    <t xml:space="preserve">A : file de traitement locale · B : délégation au fournisseur via rappel HTTP</t>
  </si>
  <si>
    <t xml:space="preserve">B — rappel HTTP du fournisseur, complété par un point de rattrapage.</t>
  </si>
  <si>
    <t xml:space="preserve">2 j/h économisés. Effet de bord : anomalies B-03 et B-04, corrigées dans le sprint.</t>
  </si>
  <si>
    <t xml:space="preserve">Paiement en ligne (S3)</t>
  </si>
  <si>
    <t xml:space="preserve">2,5 semaines avant un jalon non décalable, avec la sécurité, la conformité et les tests à produire.</t>
  </si>
  <si>
    <t xml:space="preserve">A : décaler le jalon · B : renforcer l'équipe · C : réduire le périmètre · D : réduire la qualité</t>
  </si>
  <si>
    <t xml:space="preserve">C — paiement simulé, modèle de données conservé ; exigences de qualité préservées.</t>
  </si>
  <si>
    <t xml:space="preserve">100 % des priorités Must livrées. Reprogrammé en v1.1 (6,5 j/h).</t>
  </si>
  <si>
    <t xml:space="preserve">Hébergement du front (S3)</t>
  </si>
  <si>
    <t xml:space="preserve">Le budget prévoyait un hébergement front dédié en offre payante.</t>
  </si>
  <si>
    <t xml:space="preserve">A : offre payante dédiée · B : service assuré par le VPS existant</t>
  </si>
  <si>
    <t xml:space="preserve">B — front servi par le VPS, hébergement 100 % français.</t>
  </si>
  <si>
    <t xml:space="preserve">20 €/mois économisés et cohérence avec l'engagement bas carbone.</t>
  </si>
  <si>
    <t xml:space="preserve">Fournisseur de LLM (S0)</t>
  </si>
  <si>
    <t xml:space="preserve">Deux fournisseurs candidats pour la fiche et les paroles.</t>
  </si>
  <si>
    <t xml:space="preserve">A : fournisseur n° 1 · B : fournisseur n° 2</t>
  </si>
  <si>
    <t xml:space="preserve">B — meilleur rapport qualité/coût sur les cours testés ; module concurrent retiré.</t>
  </si>
  <si>
    <t xml:space="preserve">Coût des appels de génération de texte nul à ce jour.</t>
  </si>
  <si>
    <t xml:space="preserve">Règle d'arbitrage appliquée : la qualité et la conformité ne sont jamais la variable d'ajustement ; le périmètre Should et Could l'est.</t>
  </si>
  <si>
    <t xml:space="preserve">Qualité et satisfaction</t>
  </si>
  <si>
    <t xml:space="preserve">Les indicateurs de qualité sont mesurés. Les indicateurs de satisfaction sont définis, avec leur méthode de collecte ; ils ne sont pas encore mesurés.</t>
  </si>
  <si>
    <t xml:space="preserve">Qualité — mesuré</t>
  </si>
  <si>
    <t xml:space="preserve">Atteint</t>
  </si>
  <si>
    <t xml:space="preserve">Cas de test automatisés</t>
  </si>
  <si>
    <t xml:space="preserve">Suites de tests du dépôt</t>
  </si>
  <si>
    <t xml:space="preserve">Couverture — instructions (seuil bloquant)</t>
  </si>
  <si>
    <t xml:space="preserve">Configuration de couverture, bloquante en intégration continue</t>
  </si>
  <si>
    <t xml:space="preserve">Couverture — branches (seuil bloquant)</t>
  </si>
  <si>
    <t xml:space="preserve">Scénarios de recette exécutés</t>
  </si>
  <si>
    <t xml:space="preserve">Cahier de recettes</t>
  </si>
  <si>
    <t xml:space="preserve">Anomalies corrigées</t>
  </si>
  <si>
    <t xml:space="preserve">Plan de correction des anomalies</t>
  </si>
  <si>
    <t xml:space="preserve">Taux de cibles qualité atteintes</t>
  </si>
  <si>
    <t xml:space="preserve">Satisfaction — défini, non encore mesuré</t>
  </si>
  <si>
    <t xml:space="preserve">Fréquence</t>
  </si>
  <si>
    <t xml:space="preserve">Statut</t>
  </si>
  <si>
    <t xml:space="preserve">Méthode de collecte</t>
  </si>
  <si>
    <t xml:space="preserve">Score SUS (utilisabilité perçue)</t>
  </si>
  <si>
    <t xml:space="preserve">≥ 70/100</t>
  </si>
  <si>
    <t xml:space="preserve">À chaque version majeure</t>
  </si>
  <si>
    <t xml:space="preserve">À collecter</t>
  </si>
  <si>
    <t xml:space="preserve">Questionnaire SUS de 10 items auprès d'un panel d'élèves.</t>
  </si>
  <si>
    <t xml:space="preserve">Taux de génération aboutie</t>
  </si>
  <si>
    <t xml:space="preserve">≥ 95 %</t>
  </si>
  <si>
    <t xml:space="preserve">Hebdomadaire</t>
  </si>
  <si>
    <t xml:space="preserve">Calculable</t>
  </si>
  <si>
    <t xml:space="preserve">Part des générations en statut terminé sur l'ensemble des générations.</t>
  </si>
  <si>
    <t xml:space="preserve">Taux de mise en favori</t>
  </si>
  <si>
    <t xml:space="preserve">≥ 25 %</t>
  </si>
  <si>
    <t xml:space="preserve">Mensuelle</t>
  </si>
  <si>
    <t xml:space="preserve">Titres mis en favori rapportés aux titres générés — signal de valeur perçue.</t>
  </si>
  <si>
    <t xml:space="preserve">Satisfaction du commanditaire</t>
  </si>
  <si>
    <t xml:space="preserve">≥ 4/5</t>
  </si>
  <si>
    <t xml:space="preserve">À chaque comité de pilotage</t>
  </si>
  <si>
    <t xml:space="preserve">Question unique en fin de comité de pilotage.</t>
  </si>
  <si>
    <t xml:space="preserve">Délai de traitement d'une anomalie</t>
  </si>
  <si>
    <t xml:space="preserve">&lt; 5 jours</t>
  </si>
  <si>
    <t xml:space="preserve">Mesurable</t>
  </si>
  <si>
    <t xml:space="preserve">Écart entre la détection et la livraison du correctif.</t>
  </si>
  <si>
    <t xml:space="preserve">Premier signal qualitatif : trois testeurs ont utilisé la génération sans blocage fonctionnel. L'échantillon est trop restreint pour produire un indicateur chiffré.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</si>
</sst>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"/>
    <numFmt numFmtId="167" formatCode="0.0"/>
    <numFmt numFmtId="168" formatCode="#,##0.00&quot; €&quot;"/>
    <numFmt numFmtId="169" formatCode="0.000&quot; $&quot;"/>
    <numFmt numFmtId="170" formatCode="0"/>
    <numFmt numFmtId="171" formatCode="0.000&quot; €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5B3CC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2"/>
      <color rgb="FF5B3CC4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3CC4"/>
        <bgColor rgb="FF666666"/>
      </patternFill>
    </fill>
    <fill>
      <patternFill patternType="solid">
        <fgColor rgb="FFF2F2F2"/>
        <bgColor rgb="FFEFECFB"/>
      </patternFill>
    </fill>
    <fill>
      <patternFill patternType="solid">
        <fgColor rgb="FFEFEC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EFEC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C0504D"/>
      <rgbColor rgb="FF5B3CC4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Estimé vs réalisé par lot (j/h)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Charge!B5</c:f>
              <c:strCache>
                <c:ptCount val="1"/>
                <c:pt idx="0">
                  <c:v>Estimé (j/h)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Charge!$A$6:$A$13</c:f>
              <c:strCache>
                <c:ptCount val="8"/>
                <c:pt idx="0">
                  <c:v>L1 · Import du cours</c:v>
                </c:pt>
                <c:pt idx="1">
                  <c:v>L2 · Fiche &amp; paroles IA</c:v>
                </c:pt>
                <c:pt idx="2">
                  <c:v>L3 · Musique &amp; lecteur</c:v>
                </c:pt>
                <c:pt idx="3">
                  <c:v>L4 · Compte, RGPD &amp; abonnement</c:v>
                </c:pt>
                <c:pt idx="4">
                  <c:v>L5 · Bibliothèque &amp; playlists</c:v>
                </c:pt>
                <c:pt idx="5">
                  <c:v>L6 · Social</c:v>
                </c:pt>
                <c:pt idx="6">
                  <c:v>L7 · Socle technique &amp; DevOps</c:v>
                </c:pt>
                <c:pt idx="7">
                  <c:v>L8 · Pilotage</c:v>
                </c:pt>
              </c:strCache>
            </c:strRef>
          </c:cat>
          <c:val>
            <c:numRef>
              <c:f>Charge!$B$6:$B$13</c:f>
              <c:numCache>
                <c:formatCode>0.0</c:formatCode>
                <c:ptCount val="8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8</c:v>
                </c:pt>
                <c:pt idx="4">
                  <c:v>6</c:v>
                </c:pt>
                <c:pt idx="5">
                  <c:v>10</c:v>
                </c:pt>
                <c:pt idx="6">
                  <c:v>8</c:v>
                </c:pt>
                <c:pt idx="7">
                  <c:v>10</c:v>
                </c:pt>
              </c:numCache>
            </c:numRef>
          </c:val>
        </c:ser>
        <c:ser>
          <c:idx val="1"/>
          <c:order val="1"/>
          <c:tx>
            <c:strRef>
              <c:f>Charge!C5</c:f>
              <c:strCache>
                <c:ptCount val="1"/>
                <c:pt idx="0">
                  <c:v>Réalisé (j/h)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Charge!$A$6:$A$13</c:f>
              <c:strCache>
                <c:ptCount val="8"/>
                <c:pt idx="0">
                  <c:v>L1 · Import du cours</c:v>
                </c:pt>
                <c:pt idx="1">
                  <c:v>L2 · Fiche &amp; paroles IA</c:v>
                </c:pt>
                <c:pt idx="2">
                  <c:v>L3 · Musique &amp; lecteur</c:v>
                </c:pt>
                <c:pt idx="3">
                  <c:v>L4 · Compte, RGPD &amp; abonnement</c:v>
                </c:pt>
                <c:pt idx="4">
                  <c:v>L5 · Bibliothèque &amp; playlists</c:v>
                </c:pt>
                <c:pt idx="5">
                  <c:v>L6 · Social</c:v>
                </c:pt>
                <c:pt idx="6">
                  <c:v>L7 · Socle technique &amp; DevOps</c:v>
                </c:pt>
                <c:pt idx="7">
                  <c:v>L8 · Pilotage</c:v>
                </c:pt>
              </c:strCache>
            </c:strRef>
          </c:cat>
          <c:val>
            <c:numRef>
              <c:f>Charge!$C$6:$C$13</c:f>
              <c:numCache>
                <c:formatCode>0.0</c:formatCode>
                <c:ptCount val="8"/>
                <c:pt idx="0">
                  <c:v>7</c:v>
                </c:pt>
                <c:pt idx="1">
                  <c:v>10</c:v>
                </c:pt>
                <c:pt idx="2">
                  <c:v>14</c:v>
                </c:pt>
                <c:pt idx="3">
                  <c:v>10</c:v>
                </c:pt>
                <c:pt idx="4">
                  <c:v>5.5</c:v>
                </c:pt>
                <c:pt idx="5">
                  <c:v>6</c:v>
                </c:pt>
                <c:pt idx="6">
                  <c:v>11.5</c:v>
                </c:pt>
                <c:pt idx="7">
                  <c:v>10.5</c:v>
                </c:pt>
              </c:numCache>
            </c:numRef>
          </c:val>
        </c:ser>
        <c:gapWidth val="150"/>
        <c:overlap val="0"/>
        <c:axId val="90162600"/>
        <c:axId val="74992264"/>
      </c:barChart>
      <c:catAx>
        <c:axId val="9016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92264"/>
        <c:crosses val="autoZero"/>
        <c:auto val="1"/>
        <c:lblAlgn val="ctr"/>
        <c:lblOffset val="100"/>
        <c:noMultiLvlLbl val="0"/>
      </c:catAx>
      <c:valAx>
        <c:axId val="74992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62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Burn-up : charge cumulée livrée (j/h)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Avancement!D4</c:f>
              <c:strCache>
                <c:ptCount val="1"/>
                <c:pt idx="0">
                  <c:v>Cumul livré (j/h)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Avancement!$B$5:$B$10</c:f>
              <c:strCache>
                <c:ptCount val="6"/>
                <c:pt idx="0">
                  <c:v>J0 · POC</c:v>
                </c:pt>
                <c:pt idx="1">
                  <c:v>J1 · Cadrage validé</c:v>
                </c:pt>
                <c:pt idx="2">
                  <c:v>J2 · MVP livré</c:v>
                </c:pt>
                <c:pt idx="3">
                  <c:v>J3 · Version durcie</c:v>
                </c:pt>
                <c:pt idx="4">
                  <c:v>J4 · Gel fonctionnel</c:v>
                </c:pt>
                <c:pt idx="5">
                  <c:v>J5 · MCO</c:v>
                </c:pt>
              </c:strCache>
            </c:strRef>
          </c:cat>
          <c:val>
            <c:numRef>
              <c:f>Avancement!$D$5:$D$10</c:f>
              <c:numCache>
                <c:formatCode>0.0</c:formatCode>
                <c:ptCount val="6"/>
                <c:pt idx="0">
                  <c:v>17</c:v>
                </c:pt>
                <c:pt idx="1">
                  <c:v>25.5</c:v>
                </c:pt>
                <c:pt idx="2">
                  <c:v>46.5</c:v>
                </c:pt>
                <c:pt idx="3">
                  <c:v>69.5</c:v>
                </c:pt>
                <c:pt idx="4">
                  <c:v>71.5</c:v>
                </c:pt>
                <c:pt idx="5">
                  <c:v>74.5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Avancement!E4</c:f>
              <c:strCache>
                <c:ptCount val="1"/>
                <c:pt idx="0">
                  <c:v>Cible finale (j/h)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Avancement!$B$5:$B$10</c:f>
              <c:strCache>
                <c:ptCount val="6"/>
                <c:pt idx="0">
                  <c:v>J0 · POC</c:v>
                </c:pt>
                <c:pt idx="1">
                  <c:v>J1 · Cadrage validé</c:v>
                </c:pt>
                <c:pt idx="2">
                  <c:v>J2 · MVP livré</c:v>
                </c:pt>
                <c:pt idx="3">
                  <c:v>J3 · Version durcie</c:v>
                </c:pt>
                <c:pt idx="4">
                  <c:v>J4 · Gel fonctionnel</c:v>
                </c:pt>
                <c:pt idx="5">
                  <c:v>J5 · MCO</c:v>
                </c:pt>
              </c:strCache>
            </c:strRef>
          </c:cat>
          <c:val>
            <c:numRef>
              <c:f>Avancement!$E$5:$E$10</c:f>
              <c:numCache>
                <c:formatCode>0.0</c:formatCode>
                <c:ptCount val="6"/>
                <c:pt idx="0">
                  <c:v>74.5</c:v>
                </c:pt>
                <c:pt idx="1">
                  <c:v>74.5</c:v>
                </c:pt>
                <c:pt idx="2">
                  <c:v>74.5</c:v>
                </c:pt>
                <c:pt idx="3">
                  <c:v>74.5</c:v>
                </c:pt>
                <c:pt idx="4">
                  <c:v>74.5</c:v>
                </c:pt>
                <c:pt idx="5">
                  <c:v>74.5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290323"/>
        <c:axId val="88575420"/>
      </c:lineChart>
      <c:catAx>
        <c:axId val="58290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75420"/>
        <c:crosses val="autoZero"/>
        <c:auto val="1"/>
        <c:lblAlgn val="ctr"/>
        <c:lblOffset val="100"/>
        <c:noMultiLvlLbl val="0"/>
      </c:catAx>
      <c:valAx>
        <c:axId val="88575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j/h cumulés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90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7920</xdr:rowOff>
    </xdr:from>
    <xdr:to>
      <xdr:col>5</xdr:col>
      <xdr:colOff>1419840</xdr:colOff>
      <xdr:row>42</xdr:row>
      <xdr:rowOff>186120</xdr:rowOff>
    </xdr:to>
    <xdr:graphicFrame>
      <xdr:nvGraphicFramePr>
        <xdr:cNvPr id="0" name="Chart 1"/>
        <xdr:cNvGraphicFramePr/>
      </xdr:nvGraphicFramePr>
      <xdr:xfrm>
        <a:off x="0" y="7429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312480</xdr:rowOff>
    </xdr:from>
    <xdr:to>
      <xdr:col>5</xdr:col>
      <xdr:colOff>856080</xdr:colOff>
      <xdr:row>32</xdr:row>
      <xdr:rowOff>137160</xdr:rowOff>
    </xdr:to>
    <xdr:graphicFrame>
      <xdr:nvGraphicFramePr>
        <xdr:cNvPr id="1" name="Chart 1"/>
        <xdr:cNvGraphicFramePr/>
      </xdr:nvGraphicFramePr>
      <xdr:xfrm>
        <a:off x="0" y="4219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54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30" hidden="false" customHeight="true" outlineLevel="0" collapsed="false">
      <c r="A6" s="5" t="s">
        <v>8</v>
      </c>
      <c r="B6" s="6" t="s">
        <v>9</v>
      </c>
      <c r="C6" s="7" t="n">
        <f aca="false">Avancement!$E$16</f>
        <v>1</v>
      </c>
      <c r="D6" s="8" t="n">
        <v>1</v>
      </c>
      <c r="E6" s="6" t="s">
        <v>10</v>
      </c>
    </row>
    <row r="7" customFormat="false" ht="30" hidden="false" customHeight="true" outlineLevel="0" collapsed="false">
      <c r="A7" s="5" t="s">
        <v>8</v>
      </c>
      <c r="B7" s="6" t="s">
        <v>11</v>
      </c>
      <c r="C7" s="9" t="n">
        <f aca="false">Données!$B$47</f>
        <v>12</v>
      </c>
      <c r="D7" s="10" t="n">
        <v>6</v>
      </c>
      <c r="E7" s="6" t="s">
        <v>12</v>
      </c>
    </row>
    <row r="8" customFormat="false" ht="30" hidden="false" customHeight="true" outlineLevel="0" collapsed="false">
      <c r="A8" s="5" t="s">
        <v>13</v>
      </c>
      <c r="B8" s="6" t="s">
        <v>14</v>
      </c>
      <c r="C8" s="7" t="n">
        <f aca="false">Délais!$D$11</f>
        <v>0.6</v>
      </c>
      <c r="D8" s="8" t="n">
        <v>0.8</v>
      </c>
      <c r="E8" s="6" t="s">
        <v>15</v>
      </c>
    </row>
    <row r="9" customFormat="false" ht="30" hidden="false" customHeight="true" outlineLevel="0" collapsed="false">
      <c r="A9" s="5" t="s">
        <v>16</v>
      </c>
      <c r="B9" s="6" t="s">
        <v>17</v>
      </c>
      <c r="C9" s="11" t="n">
        <f aca="false">Charge!$C$14</f>
        <v>74.5</v>
      </c>
      <c r="D9" s="12" t="n">
        <f aca="false">Charge!$B$14</f>
        <v>72</v>
      </c>
      <c r="E9" s="6" t="s">
        <v>18</v>
      </c>
    </row>
    <row r="10" customFormat="false" ht="30" hidden="false" customHeight="true" outlineLevel="0" collapsed="false">
      <c r="A10" s="5" t="s">
        <v>16</v>
      </c>
      <c r="B10" s="6" t="s">
        <v>19</v>
      </c>
      <c r="C10" s="7" t="n">
        <f aca="false">Charge!$E$14</f>
        <v>0.0347222222222222</v>
      </c>
      <c r="D10" s="8" t="n">
        <v>0.1</v>
      </c>
      <c r="E10" s="6" t="s">
        <v>20</v>
      </c>
    </row>
    <row r="11" customFormat="false" ht="30" hidden="false" customHeight="true" outlineLevel="0" collapsed="false">
      <c r="A11" s="5" t="s">
        <v>21</v>
      </c>
      <c r="B11" s="6" t="s">
        <v>22</v>
      </c>
      <c r="C11" s="13" t="n">
        <f aca="false">Coûts!$C$11</f>
        <v>14.7583333333333</v>
      </c>
      <c r="D11" s="14" t="n">
        <f aca="false">Coûts!$B$11</f>
        <v>470</v>
      </c>
      <c r="E11" s="6" t="s">
        <v>23</v>
      </c>
    </row>
    <row r="12" customFormat="false" ht="30" hidden="false" customHeight="true" outlineLevel="0" collapsed="false">
      <c r="A12" s="5" t="s">
        <v>21</v>
      </c>
      <c r="B12" s="6" t="s">
        <v>24</v>
      </c>
      <c r="C12" s="7" t="n">
        <f aca="false">Coûts!$C$30</f>
        <v>0.770741482965932</v>
      </c>
      <c r="D12" s="8" t="n">
        <v>0.5</v>
      </c>
      <c r="E12" s="6" t="s">
        <v>25</v>
      </c>
    </row>
    <row r="13" customFormat="false" ht="30" hidden="false" customHeight="true" outlineLevel="0" collapsed="false">
      <c r="A13" s="5" t="s">
        <v>26</v>
      </c>
      <c r="B13" s="6" t="s">
        <v>27</v>
      </c>
      <c r="C13" s="7" t="n">
        <f aca="false">Qualité!$D$12</f>
        <v>1</v>
      </c>
      <c r="D13" s="8" t="n">
        <v>1</v>
      </c>
      <c r="E13" s="6" t="s">
        <v>28</v>
      </c>
    </row>
    <row r="14" customFormat="false" ht="30" hidden="false" customHeight="true" outlineLevel="0" collapsed="false">
      <c r="A14" s="5" t="s">
        <v>26</v>
      </c>
      <c r="B14" s="6" t="s">
        <v>29</v>
      </c>
      <c r="C14" s="9" t="n">
        <f aca="false">Données!$B$46</f>
        <v>0</v>
      </c>
      <c r="D14" s="10" t="n">
        <v>0</v>
      </c>
      <c r="E14" s="6" t="s">
        <v>30</v>
      </c>
    </row>
    <row r="15" customFormat="false" ht="30" hidden="false" customHeight="true" outlineLevel="0" collapsed="false">
      <c r="A15" s="5" t="s">
        <v>31</v>
      </c>
      <c r="B15" s="6" t="s">
        <v>32</v>
      </c>
      <c r="C15" s="9" t="n">
        <f aca="false">COUNTIF(Risques!D5:D13,"&gt;=12")</f>
        <v>4</v>
      </c>
      <c r="D15" s="10" t="n">
        <v>2</v>
      </c>
      <c r="E15" s="6" t="s">
        <v>33</v>
      </c>
    </row>
    <row r="17" customFormat="false" ht="15" hidden="false" customHeight="false" outlineLevel="0" collapsed="false">
      <c r="A17" s="15" t="s">
        <v>34</v>
      </c>
    </row>
    <row r="18" customFormat="false" ht="25.5" hidden="false" customHeight="true" outlineLevel="0" collapsed="false">
      <c r="A18" s="16" t="s">
        <v>35</v>
      </c>
      <c r="B18" s="16"/>
      <c r="C18" s="16"/>
      <c r="D18" s="16"/>
      <c r="E18" s="16"/>
    </row>
    <row r="19" customFormat="false" ht="25.5" hidden="false" customHeight="true" outlineLevel="0" collapsed="false">
      <c r="A19" s="16" t="s">
        <v>36</v>
      </c>
      <c r="B19" s="16"/>
      <c r="C19" s="16"/>
      <c r="D19" s="16"/>
      <c r="E19" s="16"/>
    </row>
    <row r="20" customFormat="false" ht="25.5" hidden="false" customHeight="true" outlineLevel="0" collapsed="false">
      <c r="A20" s="16" t="s">
        <v>37</v>
      </c>
      <c r="B20" s="16"/>
      <c r="C20" s="16"/>
      <c r="D20" s="16"/>
      <c r="E20" s="16"/>
    </row>
    <row r="22" customFormat="false" ht="15" hidden="false" customHeight="false" outlineLevel="0" collapsed="false">
      <c r="A22" s="2" t="s">
        <v>38</v>
      </c>
    </row>
  </sheetData>
  <mergeCells count="4">
    <mergeCell ref="A3:E3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58"/>
  </cols>
  <sheetData>
    <row r="1" customFormat="false" ht="21.75" hidden="false" customHeight="true" outlineLevel="0" collapsed="false">
      <c r="A1" s="17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5" t="s">
        <v>41</v>
      </c>
    </row>
    <row r="5" customFormat="false" ht="27.75" hidden="false" customHeight="true" outlineLevel="0" collapsed="false">
      <c r="A5" s="4" t="s">
        <v>42</v>
      </c>
      <c r="B5" s="4" t="s">
        <v>5</v>
      </c>
      <c r="C5" s="4" t="s">
        <v>43</v>
      </c>
      <c r="D5" s="4"/>
      <c r="E5" s="4" t="s">
        <v>44</v>
      </c>
    </row>
    <row r="6" customFormat="false" ht="15" hidden="false" customHeight="false" outlineLevel="0" collapsed="false">
      <c r="A6" s="18" t="s">
        <v>45</v>
      </c>
      <c r="B6" s="19" t="n">
        <v>72</v>
      </c>
      <c r="C6" s="18" t="s">
        <v>46</v>
      </c>
      <c r="D6" s="18"/>
      <c r="E6" s="20" t="s">
        <v>47</v>
      </c>
    </row>
    <row r="7" customFormat="false" ht="15" hidden="false" customHeight="false" outlineLevel="0" collapsed="false">
      <c r="A7" s="18" t="s">
        <v>48</v>
      </c>
      <c r="B7" s="21" t="n">
        <v>35000</v>
      </c>
      <c r="C7" s="18" t="s">
        <v>49</v>
      </c>
      <c r="D7" s="18"/>
      <c r="E7" s="20" t="s">
        <v>50</v>
      </c>
    </row>
    <row r="8" customFormat="false" ht="15" hidden="false" customHeight="false" outlineLevel="0" collapsed="false">
      <c r="A8" s="18" t="s">
        <v>51</v>
      </c>
      <c r="B8" s="21" t="n">
        <v>470</v>
      </c>
      <c r="C8" s="18" t="s">
        <v>52</v>
      </c>
      <c r="D8" s="18"/>
      <c r="E8" s="20" t="s">
        <v>53</v>
      </c>
    </row>
    <row r="9" customFormat="false" ht="15" hidden="false" customHeight="false" outlineLevel="0" collapsed="false">
      <c r="A9" s="18" t="s">
        <v>54</v>
      </c>
      <c r="B9" s="21" t="n">
        <v>80</v>
      </c>
      <c r="C9" s="18" t="s">
        <v>52</v>
      </c>
      <c r="D9" s="18"/>
      <c r="E9" s="20" t="s">
        <v>55</v>
      </c>
    </row>
    <row r="10" customFormat="false" ht="15" hidden="false" customHeight="false" outlineLevel="0" collapsed="false">
      <c r="A10" s="18" t="s">
        <v>56</v>
      </c>
      <c r="B10" s="21" t="n">
        <v>200</v>
      </c>
      <c r="C10" s="18" t="s">
        <v>52</v>
      </c>
      <c r="D10" s="18"/>
      <c r="E10" s="20" t="s">
        <v>55</v>
      </c>
    </row>
    <row r="11" customFormat="false" ht="15" hidden="false" customHeight="false" outlineLevel="0" collapsed="false">
      <c r="A11" s="18" t="s">
        <v>57</v>
      </c>
      <c r="B11" s="21" t="n">
        <v>120</v>
      </c>
      <c r="C11" s="18" t="s">
        <v>52</v>
      </c>
      <c r="D11" s="18"/>
      <c r="E11" s="20" t="s">
        <v>55</v>
      </c>
    </row>
    <row r="12" customFormat="false" ht="15" hidden="false" customHeight="false" outlineLevel="0" collapsed="false">
      <c r="A12" s="18" t="s">
        <v>58</v>
      </c>
      <c r="B12" s="21" t="n">
        <v>20</v>
      </c>
      <c r="C12" s="18" t="s">
        <v>52</v>
      </c>
      <c r="D12" s="18"/>
      <c r="E12" s="20" t="s">
        <v>55</v>
      </c>
    </row>
    <row r="13" customFormat="false" ht="15" hidden="false" customHeight="false" outlineLevel="0" collapsed="false">
      <c r="A13" s="18" t="s">
        <v>59</v>
      </c>
      <c r="B13" s="21" t="n">
        <v>50</v>
      </c>
      <c r="C13" s="18" t="s">
        <v>52</v>
      </c>
      <c r="D13" s="18"/>
      <c r="E13" s="20" t="s">
        <v>55</v>
      </c>
    </row>
    <row r="14" customFormat="false" ht="15" hidden="false" customHeight="false" outlineLevel="0" collapsed="false">
      <c r="A14" s="18" t="s">
        <v>60</v>
      </c>
      <c r="B14" s="19" t="n">
        <v>500</v>
      </c>
      <c r="C14" s="18" t="s">
        <v>61</v>
      </c>
      <c r="D14" s="18"/>
      <c r="E14" s="20" t="s">
        <v>55</v>
      </c>
    </row>
    <row r="15" customFormat="false" ht="15" hidden="false" customHeight="false" outlineLevel="0" collapsed="false">
      <c r="A15" s="18" t="s">
        <v>62</v>
      </c>
      <c r="B15" s="21" t="n">
        <v>4.99</v>
      </c>
      <c r="C15" s="18" t="s">
        <v>52</v>
      </c>
      <c r="D15" s="18"/>
      <c r="E15" s="20" t="s">
        <v>63</v>
      </c>
    </row>
    <row r="17" customFormat="false" ht="15" hidden="false" customHeight="false" outlineLevel="0" collapsed="false">
      <c r="A17" s="15" t="s">
        <v>64</v>
      </c>
    </row>
    <row r="18" customFormat="false" ht="27.75" hidden="false" customHeight="true" outlineLevel="0" collapsed="false">
      <c r="A18" s="4" t="s">
        <v>65</v>
      </c>
      <c r="B18" s="4" t="s">
        <v>5</v>
      </c>
      <c r="C18" s="4" t="s">
        <v>43</v>
      </c>
      <c r="D18" s="4" t="s">
        <v>52</v>
      </c>
      <c r="E18" s="4" t="s">
        <v>44</v>
      </c>
    </row>
    <row r="19" customFormat="false" ht="15" hidden="false" customHeight="false" outlineLevel="0" collapsed="false">
      <c r="A19" s="18" t="s">
        <v>66</v>
      </c>
      <c r="B19" s="21" t="n">
        <v>10.19</v>
      </c>
      <c r="C19" s="18" t="s">
        <v>52</v>
      </c>
      <c r="D19" s="22" t="n">
        <f aca="false">IF($C$19="€/an",$B$19/12,$B$19)</f>
        <v>10.19</v>
      </c>
      <c r="E19" s="20" t="s">
        <v>67</v>
      </c>
    </row>
    <row r="20" customFormat="false" ht="15" hidden="false" customHeight="false" outlineLevel="0" collapsed="false">
      <c r="A20" s="18" t="s">
        <v>68</v>
      </c>
      <c r="B20" s="21" t="n">
        <v>3.95</v>
      </c>
      <c r="C20" s="18" t="s">
        <v>52</v>
      </c>
      <c r="D20" s="22" t="n">
        <f aca="false">IF($C$20="€/an",$B$20/12,$B$20)</f>
        <v>3.95</v>
      </c>
      <c r="E20" s="20" t="s">
        <v>67</v>
      </c>
    </row>
    <row r="21" customFormat="false" ht="15" hidden="false" customHeight="false" outlineLevel="0" collapsed="false">
      <c r="A21" s="18" t="s">
        <v>69</v>
      </c>
      <c r="B21" s="21" t="n">
        <v>7.3</v>
      </c>
      <c r="C21" s="18" t="s">
        <v>70</v>
      </c>
      <c r="D21" s="22" t="n">
        <f aca="false">IF($C$21="€/an",$B$21/12,$B$21)</f>
        <v>0.608333333333333</v>
      </c>
      <c r="E21" s="20" t="s">
        <v>71</v>
      </c>
    </row>
    <row r="22" customFormat="false" ht="15" hidden="false" customHeight="false" outlineLevel="0" collapsed="false">
      <c r="A22" s="18" t="s">
        <v>72</v>
      </c>
      <c r="B22" s="21" t="n">
        <v>0.01</v>
      </c>
      <c r="C22" s="18" t="s">
        <v>52</v>
      </c>
      <c r="D22" s="22" t="n">
        <f aca="false">IF($C$22="€/an",$B$22/12,$B$22)</f>
        <v>0.01</v>
      </c>
      <c r="E22" s="20" t="s">
        <v>73</v>
      </c>
    </row>
    <row r="23" customFormat="false" ht="15" hidden="false" customHeight="false" outlineLevel="0" collapsed="false">
      <c r="A23" s="18" t="s">
        <v>74</v>
      </c>
      <c r="B23" s="21" t="n">
        <v>0</v>
      </c>
      <c r="C23" s="18" t="s">
        <v>52</v>
      </c>
      <c r="D23" s="22" t="n">
        <f aca="false">IF($C$23="€/an",$B$23/12,$B$23)</f>
        <v>0</v>
      </c>
      <c r="E23" s="20" t="s">
        <v>75</v>
      </c>
    </row>
    <row r="24" customFormat="false" ht="15" hidden="false" customHeight="false" outlineLevel="0" collapsed="false">
      <c r="A24" s="23" t="s">
        <v>76</v>
      </c>
      <c r="B24" s="24"/>
      <c r="C24" s="24"/>
      <c r="D24" s="25" t="n">
        <f aca="false">SUM(D19:D23)</f>
        <v>14.7583333333333</v>
      </c>
      <c r="E24" s="24"/>
    </row>
    <row r="26" customFormat="false" ht="15" hidden="false" customHeight="false" outlineLevel="0" collapsed="false">
      <c r="A26" s="15" t="s">
        <v>77</v>
      </c>
    </row>
    <row r="27" customFormat="false" ht="27.75" hidden="false" customHeight="true" outlineLevel="0" collapsed="false">
      <c r="A27" s="4" t="s">
        <v>42</v>
      </c>
      <c r="B27" s="4" t="s">
        <v>5</v>
      </c>
      <c r="C27" s="4" t="s">
        <v>43</v>
      </c>
      <c r="D27" s="4"/>
      <c r="E27" s="4" t="s">
        <v>44</v>
      </c>
    </row>
    <row r="28" customFormat="false" ht="15" hidden="false" customHeight="false" outlineLevel="0" collapsed="false">
      <c r="A28" s="18" t="s">
        <v>78</v>
      </c>
      <c r="B28" s="26" t="n">
        <v>5</v>
      </c>
      <c r="C28" s="18" t="s">
        <v>79</v>
      </c>
      <c r="D28" s="18"/>
      <c r="E28" s="20" t="s">
        <v>80</v>
      </c>
    </row>
    <row r="29" customFormat="false" ht="15" hidden="false" customHeight="false" outlineLevel="0" collapsed="false">
      <c r="A29" s="18" t="s">
        <v>81</v>
      </c>
      <c r="B29" s="26" t="n">
        <v>1000</v>
      </c>
      <c r="C29" s="18" t="s">
        <v>82</v>
      </c>
      <c r="D29" s="18"/>
      <c r="E29" s="20" t="s">
        <v>83</v>
      </c>
    </row>
    <row r="30" customFormat="false" ht="15" hidden="false" customHeight="false" outlineLevel="0" collapsed="false">
      <c r="A30" s="18" t="s">
        <v>84</v>
      </c>
      <c r="B30" s="26" t="n">
        <v>12</v>
      </c>
      <c r="C30" s="18" t="s">
        <v>82</v>
      </c>
      <c r="D30" s="18"/>
      <c r="E30" s="20" t="s">
        <v>85</v>
      </c>
    </row>
    <row r="31" customFormat="false" ht="15" hidden="false" customHeight="false" outlineLevel="0" collapsed="false">
      <c r="A31" s="18" t="s">
        <v>86</v>
      </c>
      <c r="B31" s="26" t="n">
        <v>0.92</v>
      </c>
      <c r="C31" s="18" t="s">
        <v>87</v>
      </c>
      <c r="D31" s="18"/>
      <c r="E31" s="20" t="s">
        <v>88</v>
      </c>
    </row>
    <row r="32" customFormat="false" ht="15" hidden="false" customHeight="false" outlineLevel="0" collapsed="false">
      <c r="A32" s="18" t="s">
        <v>89</v>
      </c>
      <c r="B32" s="26" t="n">
        <v>20</v>
      </c>
      <c r="C32" s="18" t="s">
        <v>61</v>
      </c>
      <c r="D32" s="18"/>
      <c r="E32" s="20" t="s">
        <v>90</v>
      </c>
    </row>
    <row r="33" customFormat="false" ht="15" hidden="false" customHeight="false" outlineLevel="0" collapsed="false">
      <c r="A33" s="18" t="s">
        <v>91</v>
      </c>
      <c r="B33" s="26" t="n">
        <v>10</v>
      </c>
      <c r="C33" s="18" t="s">
        <v>92</v>
      </c>
      <c r="D33" s="18"/>
      <c r="E33" s="20" t="s">
        <v>93</v>
      </c>
    </row>
    <row r="34" customFormat="false" ht="15" hidden="false" customHeight="false" outlineLevel="0" collapsed="false">
      <c r="A34" s="18" t="s">
        <v>94</v>
      </c>
      <c r="B34" s="26" t="n">
        <v>2</v>
      </c>
      <c r="C34" s="18" t="s">
        <v>95</v>
      </c>
      <c r="D34" s="18"/>
      <c r="E34" s="20" t="s">
        <v>96</v>
      </c>
    </row>
    <row r="35" customFormat="false" ht="15" hidden="false" customHeight="false" outlineLevel="0" collapsed="false">
      <c r="A35" s="23" t="s">
        <v>97</v>
      </c>
      <c r="B35" s="27" t="n">
        <f aca="false">Données!$B$28/Données!$B$29*Données!$B$30</f>
        <v>0.06</v>
      </c>
      <c r="C35" s="24"/>
      <c r="D35" s="24"/>
      <c r="E35" s="28" t="s">
        <v>98</v>
      </c>
    </row>
    <row r="37" customFormat="false" ht="15" hidden="false" customHeight="false" outlineLevel="0" collapsed="false">
      <c r="A37" s="15" t="s">
        <v>99</v>
      </c>
    </row>
    <row r="38" customFormat="false" ht="27.75" hidden="false" customHeight="true" outlineLevel="0" collapsed="false">
      <c r="A38" s="4" t="s">
        <v>4</v>
      </c>
      <c r="B38" s="4" t="s">
        <v>5</v>
      </c>
      <c r="C38" s="4" t="s">
        <v>43</v>
      </c>
      <c r="D38" s="4"/>
      <c r="E38" s="4" t="s">
        <v>44</v>
      </c>
    </row>
    <row r="39" customFormat="false" ht="15" hidden="false" customHeight="false" outlineLevel="0" collapsed="false">
      <c r="A39" s="18" t="s">
        <v>100</v>
      </c>
      <c r="B39" s="19" t="n">
        <v>122</v>
      </c>
      <c r="C39" s="18" t="s">
        <v>101</v>
      </c>
      <c r="D39" s="18"/>
      <c r="E39" s="20" t="s">
        <v>102</v>
      </c>
    </row>
    <row r="40" customFormat="false" ht="15" hidden="false" customHeight="false" outlineLevel="0" collapsed="false">
      <c r="A40" s="18" t="s">
        <v>103</v>
      </c>
      <c r="B40" s="19" t="n">
        <v>46</v>
      </c>
      <c r="C40" s="18" t="s">
        <v>101</v>
      </c>
      <c r="D40" s="18"/>
      <c r="E40" s="20" t="s">
        <v>104</v>
      </c>
    </row>
    <row r="41" customFormat="false" ht="15" hidden="false" customHeight="false" outlineLevel="0" collapsed="false">
      <c r="A41" s="18" t="s">
        <v>105</v>
      </c>
      <c r="B41" s="19" t="n">
        <v>9</v>
      </c>
      <c r="C41" s="18" t="s">
        <v>101</v>
      </c>
      <c r="D41" s="18"/>
      <c r="E41" s="20" t="s">
        <v>106</v>
      </c>
    </row>
    <row r="42" customFormat="false" ht="15" hidden="false" customHeight="false" outlineLevel="0" collapsed="false">
      <c r="A42" s="18" t="s">
        <v>107</v>
      </c>
      <c r="B42" s="29" t="n">
        <v>0.81</v>
      </c>
      <c r="C42" s="18" t="s">
        <v>108</v>
      </c>
      <c r="D42" s="18"/>
      <c r="E42" s="20" t="s">
        <v>109</v>
      </c>
    </row>
    <row r="43" customFormat="false" ht="15" hidden="false" customHeight="false" outlineLevel="0" collapsed="false">
      <c r="A43" s="18" t="s">
        <v>110</v>
      </c>
      <c r="B43" s="29" t="n">
        <v>0.63</v>
      </c>
      <c r="C43" s="18" t="s">
        <v>108</v>
      </c>
      <c r="D43" s="18"/>
      <c r="E43" s="20" t="s">
        <v>109</v>
      </c>
    </row>
    <row r="44" customFormat="false" ht="15" hidden="false" customHeight="false" outlineLevel="0" collapsed="false">
      <c r="A44" s="18" t="s">
        <v>111</v>
      </c>
      <c r="B44" s="19" t="n">
        <v>37</v>
      </c>
      <c r="C44" s="18" t="s">
        <v>112</v>
      </c>
      <c r="D44" s="18"/>
      <c r="E44" s="20" t="s">
        <v>113</v>
      </c>
    </row>
    <row r="45" customFormat="false" ht="15" hidden="false" customHeight="false" outlineLevel="0" collapsed="false">
      <c r="A45" s="18" t="s">
        <v>114</v>
      </c>
      <c r="B45" s="19" t="n">
        <v>10</v>
      </c>
      <c r="C45" s="18" t="s">
        <v>115</v>
      </c>
      <c r="D45" s="18"/>
      <c r="E45" s="20" t="s">
        <v>116</v>
      </c>
    </row>
    <row r="46" customFormat="false" ht="15" hidden="false" customHeight="false" outlineLevel="0" collapsed="false">
      <c r="A46" s="18" t="s">
        <v>29</v>
      </c>
      <c r="B46" s="19" t="n">
        <v>0</v>
      </c>
      <c r="C46" s="18" t="s">
        <v>115</v>
      </c>
      <c r="D46" s="18"/>
      <c r="E46" s="20" t="s">
        <v>117</v>
      </c>
    </row>
    <row r="47" customFormat="false" ht="15" hidden="false" customHeight="false" outlineLevel="0" collapsed="false">
      <c r="A47" s="18" t="s">
        <v>11</v>
      </c>
      <c r="B47" s="19" t="n">
        <v>12</v>
      </c>
      <c r="C47" s="18" t="s">
        <v>118</v>
      </c>
      <c r="D47" s="18"/>
      <c r="E47" s="2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17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15" t="s">
        <v>122</v>
      </c>
    </row>
    <row r="5" customFormat="false" ht="27.75" hidden="false" customHeight="true" outlineLevel="0" collapsed="false">
      <c r="A5" s="4" t="s">
        <v>123</v>
      </c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</row>
    <row r="6" customFormat="false" ht="15" hidden="false" customHeight="false" outlineLevel="0" collapsed="false">
      <c r="A6" s="18" t="s">
        <v>129</v>
      </c>
      <c r="B6" s="12" t="n">
        <v>8</v>
      </c>
      <c r="C6" s="12" t="n">
        <v>7</v>
      </c>
      <c r="D6" s="12" t="n">
        <f aca="false">C6-B6</f>
        <v>-1</v>
      </c>
      <c r="E6" s="8" t="n">
        <f aca="false">IF(B6=0,"",D6/B6)</f>
        <v>-0.125</v>
      </c>
      <c r="F6" s="6" t="s">
        <v>130</v>
      </c>
    </row>
    <row r="7" customFormat="false" ht="15" hidden="false" customHeight="false" outlineLevel="0" collapsed="false">
      <c r="A7" s="18" t="s">
        <v>131</v>
      </c>
      <c r="B7" s="12" t="n">
        <v>10</v>
      </c>
      <c r="C7" s="12" t="n">
        <v>10</v>
      </c>
      <c r="D7" s="12" t="n">
        <f aca="false">C7-B7</f>
        <v>0</v>
      </c>
      <c r="E7" s="8" t="n">
        <f aca="false">IF(B7=0,"",D7/B7)</f>
        <v>0</v>
      </c>
      <c r="F7" s="6" t="s">
        <v>132</v>
      </c>
    </row>
    <row r="8" customFormat="false" ht="23.85" hidden="false" customHeight="false" outlineLevel="0" collapsed="false">
      <c r="A8" s="18" t="s">
        <v>133</v>
      </c>
      <c r="B8" s="12" t="n">
        <v>12</v>
      </c>
      <c r="C8" s="12" t="n">
        <v>14</v>
      </c>
      <c r="D8" s="12" t="n">
        <f aca="false">C8-B8</f>
        <v>2</v>
      </c>
      <c r="E8" s="8" t="n">
        <f aca="false">IF(B8=0,"",D8/B8)</f>
        <v>0.166666666666667</v>
      </c>
      <c r="F8" s="6" t="s">
        <v>134</v>
      </c>
    </row>
    <row r="9" customFormat="false" ht="23.85" hidden="false" customHeight="false" outlineLevel="0" collapsed="false">
      <c r="A9" s="18" t="s">
        <v>135</v>
      </c>
      <c r="B9" s="12" t="n">
        <v>8</v>
      </c>
      <c r="C9" s="12" t="n">
        <v>10</v>
      </c>
      <c r="D9" s="12" t="n">
        <f aca="false">C9-B9</f>
        <v>2</v>
      </c>
      <c r="E9" s="8" t="n">
        <f aca="false">IF(B9=0,"",D9/B9)</f>
        <v>0.25</v>
      </c>
      <c r="F9" s="6" t="s">
        <v>136</v>
      </c>
    </row>
    <row r="10" customFormat="false" ht="15" hidden="false" customHeight="false" outlineLevel="0" collapsed="false">
      <c r="A10" s="18" t="s">
        <v>137</v>
      </c>
      <c r="B10" s="12" t="n">
        <v>6</v>
      </c>
      <c r="C10" s="12" t="n">
        <v>5.5</v>
      </c>
      <c r="D10" s="12" t="n">
        <f aca="false">C10-B10</f>
        <v>-0.5</v>
      </c>
      <c r="E10" s="8" t="n">
        <f aca="false">IF(B10=0,"",D10/B10)</f>
        <v>-0.0833333333333333</v>
      </c>
      <c r="F10" s="6" t="s">
        <v>130</v>
      </c>
    </row>
    <row r="11" customFormat="false" ht="23.85" hidden="false" customHeight="false" outlineLevel="0" collapsed="false">
      <c r="A11" s="18" t="s">
        <v>138</v>
      </c>
      <c r="B11" s="12" t="n">
        <v>10</v>
      </c>
      <c r="C11" s="12" t="n">
        <v>6</v>
      </c>
      <c r="D11" s="12" t="n">
        <f aca="false">C11-B11</f>
        <v>-4</v>
      </c>
      <c r="E11" s="8" t="n">
        <f aca="false">IF(B11=0,"",D11/B11)</f>
        <v>-0.4</v>
      </c>
      <c r="F11" s="6" t="s">
        <v>139</v>
      </c>
    </row>
    <row r="12" customFormat="false" ht="23.85" hidden="false" customHeight="false" outlineLevel="0" collapsed="false">
      <c r="A12" s="18" t="s">
        <v>140</v>
      </c>
      <c r="B12" s="12" t="n">
        <v>8</v>
      </c>
      <c r="C12" s="12" t="n">
        <v>11.5</v>
      </c>
      <c r="D12" s="12" t="n">
        <f aca="false">C12-B12</f>
        <v>3.5</v>
      </c>
      <c r="E12" s="8" t="n">
        <f aca="false">IF(B12=0,"",D12/B12)</f>
        <v>0.4375</v>
      </c>
      <c r="F12" s="6" t="s">
        <v>141</v>
      </c>
    </row>
    <row r="13" customFormat="false" ht="15" hidden="false" customHeight="false" outlineLevel="0" collapsed="false">
      <c r="A13" s="18" t="s">
        <v>142</v>
      </c>
      <c r="B13" s="12" t="n">
        <v>10</v>
      </c>
      <c r="C13" s="12" t="n">
        <v>10.5</v>
      </c>
      <c r="D13" s="12" t="n">
        <f aca="false">C13-B13</f>
        <v>0.5</v>
      </c>
      <c r="E13" s="8" t="n">
        <f aca="false">IF(B13=0,"",D13/B13)</f>
        <v>0.05</v>
      </c>
      <c r="F13" s="6" t="s">
        <v>143</v>
      </c>
    </row>
    <row r="14" customFormat="false" ht="23.85" hidden="false" customHeight="false" outlineLevel="0" collapsed="false">
      <c r="A14" s="23" t="s">
        <v>144</v>
      </c>
      <c r="B14" s="30" t="n">
        <f aca="false">SUM(B6:B13)</f>
        <v>72</v>
      </c>
      <c r="C14" s="30" t="n">
        <f aca="false">SUM(C6:C13)</f>
        <v>74.5</v>
      </c>
      <c r="D14" s="30" t="n">
        <f aca="false">C14-B14</f>
        <v>2.5</v>
      </c>
      <c r="E14" s="31" t="n">
        <f aca="false">D14/B14</f>
        <v>0.0347222222222222</v>
      </c>
      <c r="F14" s="32" t="s">
        <v>18</v>
      </c>
    </row>
    <row r="16" customFormat="false" ht="15" hidden="false" customHeight="false" outlineLevel="0" collapsed="false">
      <c r="A16" s="15" t="s">
        <v>145</v>
      </c>
    </row>
    <row r="17" customFormat="false" ht="27.75" hidden="false" customHeight="true" outlineLevel="0" collapsed="false">
      <c r="A17" s="4" t="s">
        <v>146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147</v>
      </c>
    </row>
    <row r="18" customFormat="false" ht="15" hidden="false" customHeight="false" outlineLevel="0" collapsed="false">
      <c r="A18" s="18" t="s">
        <v>148</v>
      </c>
      <c r="B18" s="12" t="n">
        <v>22.5</v>
      </c>
      <c r="C18" s="12" t="n">
        <v>26</v>
      </c>
      <c r="D18" s="12" t="n">
        <f aca="false">C18-B18</f>
        <v>3.5</v>
      </c>
      <c r="E18" s="8" t="n">
        <f aca="false">D18/B18</f>
        <v>0.155555555555556</v>
      </c>
      <c r="F18" s="6" t="s">
        <v>149</v>
      </c>
    </row>
    <row r="19" customFormat="false" ht="15" hidden="false" customHeight="false" outlineLevel="0" collapsed="false">
      <c r="A19" s="18" t="s">
        <v>150</v>
      </c>
      <c r="B19" s="12" t="n">
        <v>15</v>
      </c>
      <c r="C19" s="12" t="n">
        <v>13.5</v>
      </c>
      <c r="D19" s="12" t="n">
        <f aca="false">C19-B19</f>
        <v>-1.5</v>
      </c>
      <c r="E19" s="8" t="n">
        <f aca="false">D19/B19</f>
        <v>-0.1</v>
      </c>
      <c r="F19" s="6" t="s">
        <v>151</v>
      </c>
    </row>
    <row r="20" customFormat="false" ht="15" hidden="false" customHeight="false" outlineLevel="0" collapsed="false">
      <c r="A20" s="18" t="s">
        <v>152</v>
      </c>
      <c r="B20" s="12" t="n">
        <v>23.5</v>
      </c>
      <c r="C20" s="12" t="n">
        <v>23.5</v>
      </c>
      <c r="D20" s="12" t="n">
        <f aca="false">C20-B20</f>
        <v>0</v>
      </c>
      <c r="E20" s="8" t="n">
        <f aca="false">D20/B20</f>
        <v>0</v>
      </c>
      <c r="F20" s="6" t="s">
        <v>153</v>
      </c>
    </row>
    <row r="21" customFormat="false" ht="15" hidden="false" customHeight="false" outlineLevel="0" collapsed="false">
      <c r="A21" s="18" t="s">
        <v>154</v>
      </c>
      <c r="B21" s="12" t="n">
        <v>5</v>
      </c>
      <c r="C21" s="12" t="n">
        <v>4.5</v>
      </c>
      <c r="D21" s="12" t="n">
        <f aca="false">C21-B21</f>
        <v>-0.5</v>
      </c>
      <c r="E21" s="8" t="n">
        <f aca="false">D21/B21</f>
        <v>-0.1</v>
      </c>
      <c r="F21" s="6" t="s">
        <v>155</v>
      </c>
    </row>
    <row r="22" customFormat="false" ht="15" hidden="false" customHeight="false" outlineLevel="0" collapsed="false">
      <c r="A22" s="18" t="s">
        <v>156</v>
      </c>
      <c r="B22" s="12" t="n">
        <v>6</v>
      </c>
      <c r="C22" s="12" t="n">
        <v>7</v>
      </c>
      <c r="D22" s="12" t="n">
        <f aca="false">C22-B22</f>
        <v>1</v>
      </c>
      <c r="E22" s="8" t="n">
        <f aca="false">D22/B22</f>
        <v>0.166666666666667</v>
      </c>
      <c r="F22" s="6" t="s">
        <v>157</v>
      </c>
    </row>
    <row r="23" customFormat="false" ht="15" hidden="false" customHeight="false" outlineLevel="0" collapsed="false">
      <c r="A23" s="23" t="s">
        <v>144</v>
      </c>
      <c r="B23" s="30" t="n">
        <f aca="false">SUM(B18:B22)</f>
        <v>72</v>
      </c>
      <c r="C23" s="30" t="n">
        <f aca="false">SUM(C18:C22)</f>
        <v>74.5</v>
      </c>
      <c r="D23" s="30" t="n">
        <f aca="false">C23-B23</f>
        <v>2.5</v>
      </c>
      <c r="E23" s="31" t="n">
        <f aca="false">D23/B23</f>
        <v>0.0347222222222222</v>
      </c>
      <c r="F23" s="23"/>
    </row>
    <row r="25" customFormat="false" ht="15" hidden="false" customHeight="false" outlineLevel="0" collapsed="false">
      <c r="A25" s="15" t="s">
        <v>158</v>
      </c>
    </row>
    <row r="26" customFormat="false" ht="27.75" hidden="false" customHeight="true" outlineLevel="0" collapsed="false">
      <c r="A26" s="4" t="s">
        <v>146</v>
      </c>
      <c r="B26" s="4" t="s">
        <v>159</v>
      </c>
      <c r="C26" s="4" t="s">
        <v>160</v>
      </c>
      <c r="D26" s="4" t="s">
        <v>161</v>
      </c>
      <c r="E26" s="4" t="s">
        <v>162</v>
      </c>
      <c r="F26" s="4" t="s">
        <v>163</v>
      </c>
      <c r="G26" s="4" t="s">
        <v>164</v>
      </c>
      <c r="H26" s="4" t="s">
        <v>165</v>
      </c>
    </row>
    <row r="27" customFormat="false" ht="35.05" hidden="false" customHeight="false" outlineLevel="0" collapsed="false">
      <c r="A27" s="18" t="s">
        <v>148</v>
      </c>
      <c r="B27" s="8" t="n">
        <v>0.7</v>
      </c>
      <c r="C27" s="8" t="n">
        <v>0.136363636363636</v>
      </c>
      <c r="D27" s="8" t="n">
        <v>1.08333333333333</v>
      </c>
      <c r="E27" s="8" t="n">
        <v>1.25</v>
      </c>
      <c r="F27" s="8" t="n">
        <v>0.75</v>
      </c>
      <c r="G27" s="8" t="n">
        <v>0.1</v>
      </c>
      <c r="H27" s="6" t="str">
        <f aca="false">IF(MAX(B27:G27)&gt;1,"Surcharge : "&amp;TEXT(MAX(B27:G27),"0%")&amp;" au pic","Charge maîtrisée")</f>
        <v>Surcharge : 125% au pic</v>
      </c>
    </row>
    <row r="28" customFormat="false" ht="35.05" hidden="false" customHeight="false" outlineLevel="0" collapsed="false">
      <c r="A28" s="18" t="s">
        <v>150</v>
      </c>
      <c r="B28" s="8" t="n">
        <v>0</v>
      </c>
      <c r="C28" s="8" t="n">
        <v>0.0454545454545455</v>
      </c>
      <c r="D28" s="8" t="n">
        <v>1.08333333333333</v>
      </c>
      <c r="E28" s="8" t="n">
        <v>1</v>
      </c>
      <c r="F28" s="8" t="n">
        <v>0</v>
      </c>
      <c r="G28" s="8" t="n">
        <v>0</v>
      </c>
      <c r="H28" s="6" t="str">
        <f aca="false">IF(MAX(B28:G28)&gt;1,"Surcharge : "&amp;TEXT(MAX(B28:G28),"0%")&amp;" au pic","Charge maîtrisée")</f>
        <v>Surcharge : 108% au pic</v>
      </c>
    </row>
    <row r="29" customFormat="false" ht="35.05" hidden="false" customHeight="false" outlineLevel="0" collapsed="false">
      <c r="A29" s="18" t="s">
        <v>152</v>
      </c>
      <c r="B29" s="8" t="n">
        <v>0.85</v>
      </c>
      <c r="C29" s="8" t="n">
        <v>0</v>
      </c>
      <c r="D29" s="8" t="n">
        <v>1.16666666666667</v>
      </c>
      <c r="E29" s="8" t="n">
        <v>1.08333333333333</v>
      </c>
      <c r="F29" s="8" t="n">
        <v>0</v>
      </c>
      <c r="G29" s="8" t="n">
        <v>0.3</v>
      </c>
      <c r="H29" s="6" t="str">
        <f aca="false">IF(MAX(B29:G29)&gt;1,"Surcharge : "&amp;TEXT(MAX(B29:G29),"0%")&amp;" au pic","Charge maîtrisée")</f>
        <v>Surcharge : 117% au pic</v>
      </c>
    </row>
    <row r="30" customFormat="false" ht="23.85" hidden="false" customHeight="false" outlineLevel="0" collapsed="false">
      <c r="A30" s="18" t="s">
        <v>154</v>
      </c>
      <c r="B30" s="8" t="n">
        <v>0</v>
      </c>
      <c r="C30" s="8" t="n">
        <v>0.818181818181818</v>
      </c>
      <c r="D30" s="8" t="n">
        <v>0</v>
      </c>
      <c r="E30" s="8" t="n">
        <v>0</v>
      </c>
      <c r="F30" s="8" t="n">
        <v>0</v>
      </c>
      <c r="G30" s="8" t="n">
        <v>0</v>
      </c>
      <c r="H30" s="6" t="str">
        <f aca="false">IF(MAX(B30:G30)&gt;1,"Surcharge : "&amp;TEXT(MAX(B30:G30),"0%")&amp;" au pic","Charge maîtrisée")</f>
        <v>Charge maîtrisée</v>
      </c>
    </row>
    <row r="31" customFormat="false" ht="23.85" hidden="false" customHeight="false" outlineLevel="0" collapsed="false">
      <c r="A31" s="18" t="s">
        <v>156</v>
      </c>
      <c r="B31" s="8" t="n">
        <v>0.3</v>
      </c>
      <c r="C31" s="8" t="n">
        <v>0</v>
      </c>
      <c r="D31" s="8" t="n">
        <v>0.333333333333333</v>
      </c>
      <c r="E31" s="8" t="n">
        <v>1</v>
      </c>
      <c r="F31" s="8" t="n">
        <v>0.5</v>
      </c>
      <c r="G31" s="8" t="n">
        <v>0.4</v>
      </c>
      <c r="H31" s="6" t="str">
        <f aca="false">IF(MAX(B31:G31)&gt;1,"Surcharge : "&amp;TEXT(MAX(B31:G31),"0%")&amp;" au pic","Charge maîtrisée")</f>
        <v>Charge maîtrisée</v>
      </c>
    </row>
    <row r="32" customFormat="false" ht="15" hidden="false" customHeight="false" outlineLevel="0" collapsed="false">
      <c r="A32" s="2" t="s">
        <v>166</v>
      </c>
    </row>
    <row r="34" customFormat="false" ht="15" hidden="false" customHeight="false" outlineLevel="0" collapsed="false">
      <c r="A34" s="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1.75" hidden="false" customHeight="true" outlineLevel="0" collapsed="false">
      <c r="A1" s="17" t="s">
        <v>168</v>
      </c>
    </row>
    <row r="2" customFormat="false" ht="15" hidden="false" customHeight="false" outlineLevel="0" collapsed="false">
      <c r="A2" s="2" t="s">
        <v>169</v>
      </c>
    </row>
    <row r="4" customFormat="false" ht="27.75" hidden="false" customHeight="true" outlineLevel="0" collapsed="false">
      <c r="A4" s="4" t="s">
        <v>170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8</v>
      </c>
      <c r="G4" s="4" t="s">
        <v>175</v>
      </c>
    </row>
    <row r="5" customFormat="false" ht="23.85" hidden="false" customHeight="false" outlineLevel="0" collapsed="false">
      <c r="A5" s="33" t="s">
        <v>176</v>
      </c>
      <c r="B5" s="18" t="s">
        <v>177</v>
      </c>
      <c r="C5" s="33" t="s">
        <v>178</v>
      </c>
      <c r="D5" s="12" t="n">
        <v>17</v>
      </c>
      <c r="E5" s="34" t="n">
        <f aca="false">Charge!$C$14</f>
        <v>74.5</v>
      </c>
      <c r="F5" s="8" t="n">
        <f aca="false">D5/E5</f>
        <v>0.228187919463087</v>
      </c>
      <c r="G5" s="6" t="s">
        <v>179</v>
      </c>
    </row>
    <row r="6" customFormat="false" ht="23.85" hidden="false" customHeight="false" outlineLevel="0" collapsed="false">
      <c r="A6" s="33" t="s">
        <v>180</v>
      </c>
      <c r="B6" s="18" t="s">
        <v>181</v>
      </c>
      <c r="C6" s="33" t="s">
        <v>178</v>
      </c>
      <c r="D6" s="12" t="n">
        <v>25.5</v>
      </c>
      <c r="E6" s="34" t="n">
        <f aca="false">Charge!$C$14</f>
        <v>74.5</v>
      </c>
      <c r="F6" s="8" t="n">
        <f aca="false">D6/E6</f>
        <v>0.342281879194631</v>
      </c>
      <c r="G6" s="6" t="s">
        <v>182</v>
      </c>
    </row>
    <row r="7" customFormat="false" ht="15" hidden="false" customHeight="false" outlineLevel="0" collapsed="false">
      <c r="A7" s="33" t="s">
        <v>183</v>
      </c>
      <c r="B7" s="18" t="s">
        <v>184</v>
      </c>
      <c r="C7" s="33" t="s">
        <v>185</v>
      </c>
      <c r="D7" s="12" t="n">
        <v>46.5</v>
      </c>
      <c r="E7" s="34" t="n">
        <f aca="false">Charge!$C$14</f>
        <v>74.5</v>
      </c>
      <c r="F7" s="8" t="n">
        <f aca="false">D7/E7</f>
        <v>0.624161073825503</v>
      </c>
      <c r="G7" s="6" t="s">
        <v>186</v>
      </c>
    </row>
    <row r="8" customFormat="false" ht="23.85" hidden="false" customHeight="false" outlineLevel="0" collapsed="false">
      <c r="A8" s="33" t="s">
        <v>187</v>
      </c>
      <c r="B8" s="18" t="s">
        <v>188</v>
      </c>
      <c r="C8" s="33" t="s">
        <v>189</v>
      </c>
      <c r="D8" s="12" t="n">
        <v>69.5</v>
      </c>
      <c r="E8" s="34" t="n">
        <f aca="false">Charge!$C$14</f>
        <v>74.5</v>
      </c>
      <c r="F8" s="8" t="n">
        <f aca="false">D8/E8</f>
        <v>0.932885906040268</v>
      </c>
      <c r="G8" s="6" t="s">
        <v>190</v>
      </c>
    </row>
    <row r="9" customFormat="false" ht="15" hidden="false" customHeight="false" outlineLevel="0" collapsed="false">
      <c r="A9" s="33" t="s">
        <v>191</v>
      </c>
      <c r="B9" s="18" t="s">
        <v>192</v>
      </c>
      <c r="C9" s="33" t="s">
        <v>193</v>
      </c>
      <c r="D9" s="12" t="n">
        <v>71.5</v>
      </c>
      <c r="E9" s="34" t="n">
        <f aca="false">Charge!$C$14</f>
        <v>74.5</v>
      </c>
      <c r="F9" s="8" t="n">
        <f aca="false">D9/E9</f>
        <v>0.959731543624161</v>
      </c>
      <c r="G9" s="6" t="s">
        <v>194</v>
      </c>
    </row>
    <row r="10" customFormat="false" ht="15" hidden="false" customHeight="false" outlineLevel="0" collapsed="false">
      <c r="A10" s="33" t="s">
        <v>195</v>
      </c>
      <c r="B10" s="18" t="s">
        <v>196</v>
      </c>
      <c r="C10" s="33" t="s">
        <v>197</v>
      </c>
      <c r="D10" s="12" t="n">
        <v>74.5</v>
      </c>
      <c r="E10" s="34" t="n">
        <f aca="false">Charge!$C$14</f>
        <v>74.5</v>
      </c>
      <c r="F10" s="8" t="n">
        <f aca="false">D10/E10</f>
        <v>1</v>
      </c>
      <c r="G10" s="6" t="s">
        <v>198</v>
      </c>
    </row>
    <row r="12" customFormat="false" ht="15" hidden="false" customHeight="false" outlineLevel="0" collapsed="false">
      <c r="A12" s="2" t="s">
        <v>199</v>
      </c>
    </row>
    <row r="14" customFormat="false" ht="15" hidden="false" customHeight="false" outlineLevel="0" collapsed="false">
      <c r="A14" s="15" t="s">
        <v>200</v>
      </c>
    </row>
    <row r="15" customFormat="false" ht="27.75" hidden="false" customHeight="true" outlineLevel="0" collapsed="false">
      <c r="A15" s="4" t="s">
        <v>201</v>
      </c>
      <c r="B15" s="4" t="s">
        <v>202</v>
      </c>
      <c r="C15" s="4" t="s">
        <v>203</v>
      </c>
      <c r="D15" s="4" t="s">
        <v>204</v>
      </c>
      <c r="E15" s="4" t="s">
        <v>205</v>
      </c>
      <c r="F15" s="4"/>
      <c r="G15" s="4" t="s">
        <v>128</v>
      </c>
    </row>
    <row r="16" customFormat="false" ht="23.85" hidden="false" customHeight="false" outlineLevel="0" collapsed="false">
      <c r="A16" s="18" t="s">
        <v>206</v>
      </c>
      <c r="B16" s="10" t="n">
        <v>42</v>
      </c>
      <c r="C16" s="10" t="n">
        <v>42</v>
      </c>
      <c r="D16" s="10" t="n">
        <v>0</v>
      </c>
      <c r="E16" s="8" t="n">
        <f aca="false">C16/B16</f>
        <v>1</v>
      </c>
      <c r="F16" s="18"/>
      <c r="G16" s="6" t="s">
        <v>207</v>
      </c>
    </row>
    <row r="17" customFormat="false" ht="35.05" hidden="false" customHeight="false" outlineLevel="0" collapsed="false">
      <c r="A17" s="18" t="s">
        <v>208</v>
      </c>
      <c r="B17" s="10" t="n">
        <v>15</v>
      </c>
      <c r="C17" s="10" t="n">
        <v>13</v>
      </c>
      <c r="D17" s="10" t="n">
        <v>2</v>
      </c>
      <c r="E17" s="8" t="n">
        <f aca="false">C17/B17</f>
        <v>0.866666666666667</v>
      </c>
      <c r="F17" s="18"/>
      <c r="G17" s="6" t="s">
        <v>209</v>
      </c>
    </row>
    <row r="18" customFormat="false" ht="23.85" hidden="false" customHeight="false" outlineLevel="0" collapsed="false">
      <c r="A18" s="18" t="s">
        <v>210</v>
      </c>
      <c r="B18" s="10" t="n">
        <v>6</v>
      </c>
      <c r="C18" s="10" t="n">
        <v>6</v>
      </c>
      <c r="D18" s="10" t="n">
        <v>0</v>
      </c>
      <c r="E18" s="8" t="n">
        <f aca="false">C18/B18</f>
        <v>1</v>
      </c>
      <c r="F18" s="18"/>
      <c r="G18" s="6" t="s">
        <v>211</v>
      </c>
    </row>
    <row r="19" customFormat="false" ht="15" hidden="false" customHeight="false" outlineLevel="0" collapsed="false">
      <c r="A19" s="23" t="s">
        <v>144</v>
      </c>
      <c r="B19" s="35" t="n">
        <f aca="false">SUM(B16:B18)</f>
        <v>63</v>
      </c>
      <c r="C19" s="35" t="n">
        <f aca="false">SUM(C16:C18)</f>
        <v>61</v>
      </c>
      <c r="D19" s="35" t="n">
        <f aca="false">SUM(D16:D18)</f>
        <v>2</v>
      </c>
      <c r="E19" s="31" t="n">
        <f aca="false">C19/B19</f>
        <v>0.968253968253968</v>
      </c>
      <c r="F19" s="23"/>
      <c r="G19" s="3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21.75" hidden="false" customHeight="true" outlineLevel="0" collapsed="false">
      <c r="A1" s="17" t="s">
        <v>213</v>
      </c>
    </row>
    <row r="2" customFormat="false" ht="15" hidden="false" customHeight="false" outlineLevel="0" collapsed="false">
      <c r="A2" s="2" t="s">
        <v>214</v>
      </c>
    </row>
    <row r="4" customFormat="false" ht="27.75" hidden="false" customHeight="true" outlineLevel="0" collapsed="false">
      <c r="A4" s="4" t="s">
        <v>171</v>
      </c>
      <c r="B4" s="4" t="s">
        <v>215</v>
      </c>
      <c r="C4" s="4" t="s">
        <v>216</v>
      </c>
      <c r="D4" s="4" t="s">
        <v>217</v>
      </c>
      <c r="E4" s="4" t="s">
        <v>218</v>
      </c>
    </row>
    <row r="5" customFormat="false" ht="15" hidden="false" customHeight="false" outlineLevel="0" collapsed="false">
      <c r="A5" s="18" t="s">
        <v>181</v>
      </c>
      <c r="B5" s="33" t="s">
        <v>180</v>
      </c>
      <c r="C5" s="33" t="s">
        <v>180</v>
      </c>
      <c r="D5" s="36" t="n">
        <v>0</v>
      </c>
      <c r="E5" s="6" t="s">
        <v>219</v>
      </c>
    </row>
    <row r="6" customFormat="false" ht="23.85" hidden="false" customHeight="false" outlineLevel="0" collapsed="false">
      <c r="A6" s="18" t="s">
        <v>184</v>
      </c>
      <c r="B6" s="33" t="s">
        <v>220</v>
      </c>
      <c r="C6" s="33" t="s">
        <v>183</v>
      </c>
      <c r="D6" s="36" t="n">
        <v>46</v>
      </c>
      <c r="E6" s="6" t="s">
        <v>221</v>
      </c>
    </row>
    <row r="7" customFormat="false" ht="23.85" hidden="false" customHeight="false" outlineLevel="0" collapsed="false">
      <c r="A7" s="18" t="s">
        <v>188</v>
      </c>
      <c r="B7" s="33" t="s">
        <v>222</v>
      </c>
      <c r="C7" s="33" t="s">
        <v>187</v>
      </c>
      <c r="D7" s="36" t="n">
        <v>26</v>
      </c>
      <c r="E7" s="6" t="s">
        <v>223</v>
      </c>
    </row>
    <row r="8" customFormat="false" ht="15" hidden="false" customHeight="false" outlineLevel="0" collapsed="false">
      <c r="A8" s="18" t="s">
        <v>192</v>
      </c>
      <c r="B8" s="33" t="s">
        <v>191</v>
      </c>
      <c r="C8" s="33" t="s">
        <v>191</v>
      </c>
      <c r="D8" s="36" t="n">
        <v>0</v>
      </c>
      <c r="E8" s="6" t="s">
        <v>224</v>
      </c>
    </row>
    <row r="9" customFormat="false" ht="15" hidden="false" customHeight="false" outlineLevel="0" collapsed="false">
      <c r="A9" s="18" t="s">
        <v>196</v>
      </c>
      <c r="B9" s="33" t="s">
        <v>195</v>
      </c>
      <c r="C9" s="33" t="s">
        <v>195</v>
      </c>
      <c r="D9" s="36" t="n">
        <v>0</v>
      </c>
      <c r="E9" s="6" t="s">
        <v>219</v>
      </c>
    </row>
    <row r="10" customFormat="false" ht="15" hidden="false" customHeight="false" outlineLevel="0" collapsed="false">
      <c r="A10" s="18" t="s">
        <v>225</v>
      </c>
      <c r="B10" s="33" t="s">
        <v>226</v>
      </c>
      <c r="C10" s="33" t="s">
        <v>227</v>
      </c>
      <c r="D10" s="36"/>
      <c r="E10" s="6" t="s">
        <v>228</v>
      </c>
    </row>
    <row r="11" customFormat="false" ht="23.85" hidden="false" customHeight="false" outlineLevel="0" collapsed="false">
      <c r="A11" s="23" t="s">
        <v>229</v>
      </c>
      <c r="B11" s="35" t="n">
        <f aca="false">COUNT(D5:D10)</f>
        <v>5</v>
      </c>
      <c r="C11" s="35" t="n">
        <f aca="false">COUNTIF(D5:D10,0)</f>
        <v>3</v>
      </c>
      <c r="D11" s="31" t="n">
        <f aca="false">C11/B11</f>
        <v>0.6</v>
      </c>
      <c r="E11" s="32" t="s">
        <v>230</v>
      </c>
    </row>
    <row r="13" customFormat="false" ht="15" hidden="false" customHeight="false" outlineLevel="0" collapsed="false">
      <c r="A13" s="15" t="s">
        <v>231</v>
      </c>
    </row>
    <row r="14" customFormat="false" ht="15" hidden="false" customHeight="false" outlineLevel="0" collapsed="false">
      <c r="A14" s="37" t="s">
        <v>232</v>
      </c>
    </row>
    <row r="15" customFormat="false" ht="15" hidden="false" customHeight="false" outlineLevel="0" collapsed="false">
      <c r="A15" s="37" t="s">
        <v>233</v>
      </c>
    </row>
    <row r="16" customFormat="false" ht="15" hidden="false" customHeight="false" outlineLevel="0" collapsed="false">
      <c r="A16" s="37" t="s">
        <v>234</v>
      </c>
    </row>
    <row r="17" customFormat="false" ht="15" hidden="false" customHeight="false" outlineLevel="0" collapsed="false">
      <c r="A17" s="37" t="s">
        <v>235</v>
      </c>
    </row>
    <row r="18" customFormat="false" ht="15" hidden="false" customHeight="false" outlineLevel="0" collapsed="false">
      <c r="A18" s="37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21.75" hidden="false" customHeight="true" outlineLevel="0" collapsed="false">
      <c r="A1" s="17" t="s">
        <v>237</v>
      </c>
    </row>
    <row r="2" customFormat="false" ht="15" hidden="false" customHeight="false" outlineLevel="0" collapsed="false">
      <c r="A2" s="2" t="s">
        <v>238</v>
      </c>
    </row>
    <row r="4" customFormat="false" ht="15" hidden="false" customHeight="false" outlineLevel="0" collapsed="false">
      <c r="A4" s="15" t="s">
        <v>239</v>
      </c>
    </row>
    <row r="5" customFormat="false" ht="27.75" hidden="false" customHeight="true" outlineLevel="0" collapsed="false">
      <c r="A5" s="4" t="s">
        <v>65</v>
      </c>
      <c r="B5" s="4" t="s">
        <v>240</v>
      </c>
      <c r="C5" s="4" t="s">
        <v>241</v>
      </c>
      <c r="D5" s="4" t="s">
        <v>242</v>
      </c>
      <c r="E5" s="4" t="s">
        <v>243</v>
      </c>
    </row>
    <row r="6" customFormat="false" ht="23.85" hidden="false" customHeight="false" outlineLevel="0" collapsed="false">
      <c r="A6" s="18" t="s">
        <v>244</v>
      </c>
      <c r="B6" s="38" t="n">
        <f aca="false">Données!$B$9</f>
        <v>80</v>
      </c>
      <c r="C6" s="38" t="n">
        <f aca="false">Données!$D$22</f>
        <v>0.01</v>
      </c>
      <c r="D6" s="8" t="n">
        <f aca="false">IF(B6=0,"",(C6-B6)/B6)</f>
        <v>-0.999875</v>
      </c>
      <c r="E6" s="6" t="s">
        <v>245</v>
      </c>
    </row>
    <row r="7" customFormat="false" ht="23.85" hidden="false" customHeight="false" outlineLevel="0" collapsed="false">
      <c r="A7" s="18" t="s">
        <v>246</v>
      </c>
      <c r="B7" s="38" t="n">
        <f aca="false">Données!$B$10</f>
        <v>200</v>
      </c>
      <c r="C7" s="14" t="n">
        <v>0</v>
      </c>
      <c r="D7" s="8" t="n">
        <f aca="false">IF(B7=0,"",(C7-B7)/B7)</f>
        <v>-1</v>
      </c>
      <c r="E7" s="6" t="s">
        <v>247</v>
      </c>
    </row>
    <row r="8" customFormat="false" ht="23.85" hidden="false" customHeight="false" outlineLevel="0" collapsed="false">
      <c r="A8" s="18" t="s">
        <v>248</v>
      </c>
      <c r="B8" s="38" t="n">
        <f aca="false">Données!$B$11</f>
        <v>120</v>
      </c>
      <c r="C8" s="38" t="n">
        <f aca="false">Données!$D$19+Données!$D$20</f>
        <v>14.14</v>
      </c>
      <c r="D8" s="8" t="n">
        <f aca="false">IF(B8=0,"",(C8-B8)/B8)</f>
        <v>-0.882166666666667</v>
      </c>
      <c r="E8" s="6" t="s">
        <v>249</v>
      </c>
    </row>
    <row r="9" customFormat="false" ht="15" hidden="false" customHeight="false" outlineLevel="0" collapsed="false">
      <c r="A9" s="18" t="s">
        <v>74</v>
      </c>
      <c r="B9" s="38" t="n">
        <f aca="false">Données!$B$12</f>
        <v>20</v>
      </c>
      <c r="C9" s="38" t="n">
        <f aca="false">Données!$D$23</f>
        <v>0</v>
      </c>
      <c r="D9" s="8" t="n">
        <f aca="false">IF(B9=0,"",(C9-B9)/B9)</f>
        <v>-1</v>
      </c>
      <c r="E9" s="6" t="s">
        <v>250</v>
      </c>
    </row>
    <row r="10" customFormat="false" ht="23.85" hidden="false" customHeight="false" outlineLevel="0" collapsed="false">
      <c r="A10" s="18" t="s">
        <v>251</v>
      </c>
      <c r="B10" s="38" t="n">
        <f aca="false">Données!$B$13</f>
        <v>50</v>
      </c>
      <c r="C10" s="38" t="n">
        <f aca="false">Données!$D$21</f>
        <v>0.608333333333333</v>
      </c>
      <c r="D10" s="8" t="n">
        <f aca="false">IF(B10=0,"",(C10-B10)/B10)</f>
        <v>-0.987833333333333</v>
      </c>
      <c r="E10" s="6" t="s">
        <v>252</v>
      </c>
    </row>
    <row r="11" customFormat="false" ht="15" hidden="false" customHeight="false" outlineLevel="0" collapsed="false">
      <c r="A11" s="23" t="s">
        <v>253</v>
      </c>
      <c r="B11" s="39" t="n">
        <f aca="false">SUM(B6:B10)</f>
        <v>470</v>
      </c>
      <c r="C11" s="39" t="n">
        <f aca="false">SUM(C6:C10)</f>
        <v>14.7583333333333</v>
      </c>
      <c r="D11" s="31" t="n">
        <f aca="false">(C11-B11)/B11</f>
        <v>-0.968599290780142</v>
      </c>
      <c r="E11" s="32" t="s">
        <v>254</v>
      </c>
    </row>
    <row r="13" customFormat="false" ht="15" hidden="false" customHeight="false" outlineLevel="0" collapsed="false">
      <c r="A13" s="15" t="s">
        <v>255</v>
      </c>
    </row>
    <row r="14" customFormat="false" ht="27.75" hidden="false" customHeight="true" outlineLevel="0" collapsed="false">
      <c r="A14" s="4" t="s">
        <v>65</v>
      </c>
      <c r="B14" s="4" t="s">
        <v>240</v>
      </c>
      <c r="C14" s="4" t="s">
        <v>256</v>
      </c>
      <c r="D14" s="4" t="s">
        <v>242</v>
      </c>
      <c r="E14" s="4" t="s">
        <v>257</v>
      </c>
    </row>
    <row r="15" customFormat="false" ht="15" hidden="false" customHeight="false" outlineLevel="0" collapsed="false">
      <c r="A15" s="18" t="s">
        <v>246</v>
      </c>
      <c r="B15" s="14" t="n">
        <f aca="false">Données!$B$10</f>
        <v>200</v>
      </c>
      <c r="C15" s="14" t="n">
        <f aca="false">Données!$B$14*Données!$B$35*Données!$B$31</f>
        <v>27.6</v>
      </c>
      <c r="D15" s="8" t="n">
        <f aca="false">(C15-B15)/B15</f>
        <v>-0.862</v>
      </c>
      <c r="E15" s="6" t="s">
        <v>258</v>
      </c>
    </row>
    <row r="16" customFormat="false" ht="15" hidden="false" customHeight="false" outlineLevel="0" collapsed="false">
      <c r="A16" s="18" t="s">
        <v>244</v>
      </c>
      <c r="B16" s="14" t="n">
        <f aca="false">Données!$B$9</f>
        <v>80</v>
      </c>
      <c r="C16" s="14" t="n">
        <f aca="false">Données!$B$14*Données!$D$22/Données!$B$33*Données!$B$34</f>
        <v>1</v>
      </c>
      <c r="D16" s="8" t="n">
        <f aca="false">(C16-B16)/B16</f>
        <v>-0.9875</v>
      </c>
      <c r="E16" s="6" t="s">
        <v>259</v>
      </c>
    </row>
    <row r="17" customFormat="false" ht="15" hidden="false" customHeight="false" outlineLevel="0" collapsed="false">
      <c r="A17" s="18" t="s">
        <v>260</v>
      </c>
      <c r="B17" s="14" t="n">
        <f aca="false">B11-B7-B6</f>
        <v>190</v>
      </c>
      <c r="C17" s="14" t="n">
        <f aca="false">C11-C7-C6</f>
        <v>14.7483333333333</v>
      </c>
      <c r="D17" s="8" t="n">
        <f aca="false">(C17-B17)/B17</f>
        <v>-0.922377192982456</v>
      </c>
      <c r="E17" s="6" t="s">
        <v>261</v>
      </c>
    </row>
    <row r="18" customFormat="false" ht="23.85" hidden="false" customHeight="false" outlineLevel="0" collapsed="false">
      <c r="A18" s="23" t="s">
        <v>262</v>
      </c>
      <c r="B18" s="39" t="n">
        <f aca="false">SUM(B15:B17)</f>
        <v>470</v>
      </c>
      <c r="C18" s="39" t="n">
        <f aca="false">SUM(C15:C17)</f>
        <v>43.3483333333333</v>
      </c>
      <c r="D18" s="31" t="n">
        <f aca="false">(C18-B18)/B18</f>
        <v>-0.907769503546099</v>
      </c>
      <c r="E18" s="32" t="s">
        <v>263</v>
      </c>
    </row>
    <row r="20" customFormat="false" ht="15" hidden="false" customHeight="false" outlineLevel="0" collapsed="false">
      <c r="A20" s="15" t="s">
        <v>264</v>
      </c>
    </row>
    <row r="21" customFormat="false" ht="27.75" hidden="false" customHeight="true" outlineLevel="0" collapsed="false">
      <c r="A21" s="4" t="s">
        <v>265</v>
      </c>
      <c r="B21" s="4" t="s">
        <v>266</v>
      </c>
      <c r="C21" s="4" t="s">
        <v>267</v>
      </c>
      <c r="D21" s="4"/>
      <c r="E21" s="4" t="s">
        <v>268</v>
      </c>
    </row>
    <row r="22" customFormat="false" ht="15" hidden="false" customHeight="false" outlineLevel="0" collapsed="false">
      <c r="A22" s="18" t="s">
        <v>269</v>
      </c>
      <c r="B22" s="40" t="n">
        <f aca="false">Données!$B$35*Données!$B$31</f>
        <v>0.0552</v>
      </c>
      <c r="C22" s="33" t="s">
        <v>270</v>
      </c>
      <c r="D22" s="18"/>
      <c r="E22" s="6" t="s">
        <v>271</v>
      </c>
    </row>
    <row r="23" customFormat="false" ht="23.85" hidden="false" customHeight="false" outlineLevel="0" collapsed="false">
      <c r="A23" s="18" t="s">
        <v>272</v>
      </c>
      <c r="B23" s="40" t="n">
        <f aca="false">Données!$D$22/Données!$B$33*Données!$B$34</f>
        <v>0.002</v>
      </c>
      <c r="C23" s="33" t="s">
        <v>273</v>
      </c>
      <c r="D23" s="18"/>
      <c r="E23" s="6" t="s">
        <v>274</v>
      </c>
    </row>
    <row r="24" customFormat="false" ht="23.85" hidden="false" customHeight="false" outlineLevel="0" collapsed="false">
      <c r="A24" s="23" t="s">
        <v>275</v>
      </c>
      <c r="B24" s="41" t="n">
        <f aca="false">SUM(B22:B23)</f>
        <v>0.0572</v>
      </c>
      <c r="C24" s="23"/>
      <c r="D24" s="23"/>
      <c r="E24" s="32" t="s">
        <v>276</v>
      </c>
    </row>
    <row r="26" customFormat="false" ht="15" hidden="false" customHeight="false" outlineLevel="0" collapsed="false">
      <c r="A26" s="15" t="s">
        <v>277</v>
      </c>
    </row>
    <row r="27" customFormat="false" ht="27.75" hidden="false" customHeight="true" outlineLevel="0" collapsed="false">
      <c r="A27" s="4" t="s">
        <v>4</v>
      </c>
      <c r="B27" s="4" t="s">
        <v>278</v>
      </c>
      <c r="C27" s="4" t="s">
        <v>216</v>
      </c>
      <c r="D27" s="4"/>
      <c r="E27" s="4" t="s">
        <v>128</v>
      </c>
    </row>
    <row r="28" customFormat="false" ht="23.85" hidden="false" customHeight="false" outlineLevel="0" collapsed="false">
      <c r="A28" s="18" t="s">
        <v>279</v>
      </c>
      <c r="B28" s="42" t="n">
        <v>0.4</v>
      </c>
      <c r="C28" s="14" t="n">
        <f aca="false">Données!$B$35*Données!$B$31</f>
        <v>0.0552</v>
      </c>
      <c r="D28" s="18"/>
      <c r="E28" s="6" t="s">
        <v>280</v>
      </c>
    </row>
    <row r="29" customFormat="false" ht="23.85" hidden="false" customHeight="false" outlineLevel="0" collapsed="false">
      <c r="A29" s="18" t="s">
        <v>281</v>
      </c>
      <c r="B29" s="14"/>
      <c r="C29" s="14" t="n">
        <f aca="false">Données!$B$32*Coûts!$B$24</f>
        <v>1.144</v>
      </c>
      <c r="D29" s="18"/>
      <c r="E29" s="6" t="s">
        <v>282</v>
      </c>
    </row>
    <row r="30" customFormat="false" ht="23.85" hidden="false" customHeight="false" outlineLevel="0" collapsed="false">
      <c r="A30" s="18" t="s">
        <v>24</v>
      </c>
      <c r="B30" s="43" t="n">
        <v>0.5</v>
      </c>
      <c r="C30" s="8" t="n">
        <f aca="false">(Données!$B$15-C29)/Données!$B$15</f>
        <v>0.770741482965932</v>
      </c>
      <c r="D30" s="18"/>
      <c r="E30" s="6" t="s">
        <v>283</v>
      </c>
    </row>
    <row r="32" customFormat="false" ht="15" hidden="false" customHeight="false" outlineLevel="0" collapsed="false">
      <c r="A32" s="2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7" t="s">
        <v>285</v>
      </c>
    </row>
    <row r="2" customFormat="false" ht="15" hidden="false" customHeight="false" outlineLevel="0" collapsed="false">
      <c r="A2" s="2" t="s">
        <v>286</v>
      </c>
    </row>
    <row r="4" customFormat="false" ht="27.75" hidden="false" customHeight="true" outlineLevel="0" collapsed="false">
      <c r="A4" s="4" t="s">
        <v>287</v>
      </c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</row>
    <row r="5" customFormat="false" ht="35.05" hidden="false" customHeight="false" outlineLevel="0" collapsed="false">
      <c r="A5" s="6" t="s">
        <v>293</v>
      </c>
      <c r="B5" s="36" t="n">
        <v>3</v>
      </c>
      <c r="C5" s="36" t="n">
        <v>4</v>
      </c>
      <c r="D5" s="36" t="n">
        <f aca="false">B5*C5</f>
        <v>12</v>
      </c>
      <c r="E5" s="6" t="s">
        <v>294</v>
      </c>
      <c r="F5" s="6" t="s">
        <v>295</v>
      </c>
    </row>
    <row r="6" customFormat="false" ht="35.05" hidden="false" customHeight="false" outlineLevel="0" collapsed="false">
      <c r="A6" s="6" t="s">
        <v>296</v>
      </c>
      <c r="B6" s="36" t="n">
        <v>4</v>
      </c>
      <c r="C6" s="36" t="n">
        <v>4</v>
      </c>
      <c r="D6" s="36" t="n">
        <f aca="false">B6*C6</f>
        <v>16</v>
      </c>
      <c r="E6" s="6" t="s">
        <v>297</v>
      </c>
      <c r="F6" s="6" t="s">
        <v>298</v>
      </c>
    </row>
    <row r="7" customFormat="false" ht="23.85" hidden="false" customHeight="false" outlineLevel="0" collapsed="false">
      <c r="A7" s="6" t="s">
        <v>299</v>
      </c>
      <c r="B7" s="36" t="n">
        <v>2</v>
      </c>
      <c r="C7" s="36" t="n">
        <v>3</v>
      </c>
      <c r="D7" s="36" t="n">
        <f aca="false">B7*C7</f>
        <v>6</v>
      </c>
      <c r="E7" s="6" t="s">
        <v>300</v>
      </c>
      <c r="F7" s="6" t="s">
        <v>301</v>
      </c>
    </row>
    <row r="8" customFormat="false" ht="35.05" hidden="false" customHeight="false" outlineLevel="0" collapsed="false">
      <c r="A8" s="6" t="s">
        <v>302</v>
      </c>
      <c r="B8" s="36" t="n">
        <v>2</v>
      </c>
      <c r="C8" s="36" t="n">
        <v>4</v>
      </c>
      <c r="D8" s="36" t="n">
        <f aca="false">B8*C8</f>
        <v>8</v>
      </c>
      <c r="E8" s="6" t="s">
        <v>303</v>
      </c>
      <c r="F8" s="6" t="s">
        <v>304</v>
      </c>
    </row>
    <row r="9" customFormat="false" ht="23.85" hidden="false" customHeight="false" outlineLevel="0" collapsed="false">
      <c r="A9" s="6" t="s">
        <v>305</v>
      </c>
      <c r="B9" s="36" t="n">
        <v>3</v>
      </c>
      <c r="C9" s="36" t="n">
        <v>4</v>
      </c>
      <c r="D9" s="36" t="n">
        <f aca="false">B9*C9</f>
        <v>12</v>
      </c>
      <c r="E9" s="6" t="s">
        <v>306</v>
      </c>
      <c r="F9" s="6" t="s">
        <v>307</v>
      </c>
    </row>
    <row r="10" customFormat="false" ht="23.85" hidden="false" customHeight="false" outlineLevel="0" collapsed="false">
      <c r="A10" s="6" t="s">
        <v>308</v>
      </c>
      <c r="B10" s="36" t="n">
        <v>3</v>
      </c>
      <c r="C10" s="36" t="n">
        <v>3</v>
      </c>
      <c r="D10" s="36" t="n">
        <f aca="false">B10*C10</f>
        <v>9</v>
      </c>
      <c r="E10" s="6" t="s">
        <v>309</v>
      </c>
      <c r="F10" s="6" t="s">
        <v>310</v>
      </c>
    </row>
    <row r="11" customFormat="false" ht="23.85" hidden="false" customHeight="false" outlineLevel="0" collapsed="false">
      <c r="A11" s="6" t="s">
        <v>311</v>
      </c>
      <c r="B11" s="36" t="n">
        <v>2</v>
      </c>
      <c r="C11" s="36" t="n">
        <v>3</v>
      </c>
      <c r="D11" s="36" t="n">
        <f aca="false">B11*C11</f>
        <v>6</v>
      </c>
      <c r="E11" s="6" t="s">
        <v>312</v>
      </c>
      <c r="F11" s="6" t="s">
        <v>313</v>
      </c>
    </row>
    <row r="12" customFormat="false" ht="23.85" hidden="false" customHeight="false" outlineLevel="0" collapsed="false">
      <c r="A12" s="6" t="s">
        <v>314</v>
      </c>
      <c r="B12" s="36" t="n">
        <v>2</v>
      </c>
      <c r="C12" s="36" t="n">
        <v>2</v>
      </c>
      <c r="D12" s="36" t="n">
        <f aca="false">B12*C12</f>
        <v>4</v>
      </c>
      <c r="E12" s="6" t="s">
        <v>315</v>
      </c>
      <c r="F12" s="6" t="s">
        <v>316</v>
      </c>
    </row>
    <row r="13" customFormat="false" ht="23.85" hidden="false" customHeight="false" outlineLevel="0" collapsed="false">
      <c r="A13" s="6" t="s">
        <v>317</v>
      </c>
      <c r="B13" s="36" t="n">
        <v>4</v>
      </c>
      <c r="C13" s="36" t="n">
        <v>3</v>
      </c>
      <c r="D13" s="36" t="n">
        <f aca="false">B13*C13</f>
        <v>12</v>
      </c>
      <c r="E13" s="6" t="s">
        <v>318</v>
      </c>
      <c r="F13" s="6" t="s">
        <v>319</v>
      </c>
    </row>
    <row r="15" customFormat="false" ht="15" hidden="false" customHeight="false" outlineLevel="0" collapsed="false">
      <c r="A15" s="44" t="s">
        <v>320</v>
      </c>
      <c r="B15" s="44"/>
      <c r="C15" s="44"/>
      <c r="D15" s="45" t="n">
        <f aca="false">AVERAGE(D5:D13)</f>
        <v>9.44444444444445</v>
      </c>
      <c r="E15" s="44" t="s">
        <v>32</v>
      </c>
      <c r="F15" s="46" t="n">
        <f aca="false">COUNTIF(D5:D13,"&gt;=12")</f>
        <v>4</v>
      </c>
    </row>
    <row r="17" customFormat="false" ht="15" hidden="false" customHeight="false" outlineLevel="0" collapsed="false">
      <c r="A17" s="2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21.75" hidden="false" customHeight="true" outlineLevel="0" collapsed="false">
      <c r="A1" s="17" t="s">
        <v>322</v>
      </c>
    </row>
    <row r="2" customFormat="false" ht="15" hidden="false" customHeight="false" outlineLevel="0" collapsed="false">
      <c r="A2" s="2" t="s">
        <v>323</v>
      </c>
    </row>
    <row r="4" customFormat="false" ht="27.75" hidden="false" customHeight="true" outlineLevel="0" collapsed="false">
      <c r="A4" s="4" t="s">
        <v>324</v>
      </c>
      <c r="B4" s="4" t="s">
        <v>325</v>
      </c>
      <c r="C4" s="4" t="s">
        <v>326</v>
      </c>
      <c r="D4" s="4" t="s">
        <v>327</v>
      </c>
      <c r="E4" s="4" t="s">
        <v>328</v>
      </c>
    </row>
    <row r="5" customFormat="false" ht="61.5" hidden="false" customHeight="true" outlineLevel="0" collapsed="false">
      <c r="A5" s="6" t="s">
        <v>329</v>
      </c>
      <c r="B5" s="6" t="s">
        <v>330</v>
      </c>
      <c r="C5" s="6" t="s">
        <v>331</v>
      </c>
      <c r="D5" s="6" t="s">
        <v>332</v>
      </c>
      <c r="E5" s="6" t="s">
        <v>333</v>
      </c>
    </row>
    <row r="6" customFormat="false" ht="61.5" hidden="false" customHeight="true" outlineLevel="0" collapsed="false">
      <c r="A6" s="6" t="s">
        <v>334</v>
      </c>
      <c r="B6" s="6" t="s">
        <v>335</v>
      </c>
      <c r="C6" s="6" t="s">
        <v>336</v>
      </c>
      <c r="D6" s="6" t="s">
        <v>337</v>
      </c>
      <c r="E6" s="6" t="s">
        <v>338</v>
      </c>
    </row>
    <row r="7" customFormat="false" ht="61.5" hidden="false" customHeight="true" outlineLevel="0" collapsed="false">
      <c r="A7" s="6" t="s">
        <v>339</v>
      </c>
      <c r="B7" s="6" t="s">
        <v>340</v>
      </c>
      <c r="C7" s="6" t="s">
        <v>341</v>
      </c>
      <c r="D7" s="6" t="s">
        <v>342</v>
      </c>
      <c r="E7" s="6" t="s">
        <v>343</v>
      </c>
    </row>
    <row r="8" customFormat="false" ht="61.5" hidden="false" customHeight="true" outlineLevel="0" collapsed="false">
      <c r="A8" s="6" t="s">
        <v>344</v>
      </c>
      <c r="B8" s="6" t="s">
        <v>345</v>
      </c>
      <c r="C8" s="6" t="s">
        <v>346</v>
      </c>
      <c r="D8" s="6" t="s">
        <v>347</v>
      </c>
      <c r="E8" s="6" t="s">
        <v>348</v>
      </c>
    </row>
    <row r="10" customFormat="false" ht="15" hidden="false" customHeight="false" outlineLevel="0" collapsed="false">
      <c r="A10" s="2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17" t="s">
        <v>350</v>
      </c>
    </row>
    <row r="2" customFormat="false" ht="15" hidden="false" customHeight="false" outlineLevel="0" collapsed="false">
      <c r="A2" s="2" t="s">
        <v>351</v>
      </c>
    </row>
    <row r="4" customFormat="false" ht="15" hidden="false" customHeight="false" outlineLevel="0" collapsed="false">
      <c r="A4" s="15" t="s">
        <v>352</v>
      </c>
    </row>
    <row r="5" customFormat="false" ht="27.75" hidden="false" customHeight="true" outlineLevel="0" collapsed="false">
      <c r="A5" s="4" t="s">
        <v>4</v>
      </c>
      <c r="B5" s="4" t="s">
        <v>5</v>
      </c>
      <c r="C5" s="4" t="s">
        <v>6</v>
      </c>
      <c r="D5" s="4" t="s">
        <v>353</v>
      </c>
      <c r="E5" s="4" t="s">
        <v>44</v>
      </c>
    </row>
    <row r="6" customFormat="false" ht="15" hidden="false" customHeight="false" outlineLevel="0" collapsed="false">
      <c r="A6" s="6" t="s">
        <v>354</v>
      </c>
      <c r="B6" s="10" t="n">
        <f aca="false">Données!$B$39+Données!$B$40+Données!$B$41</f>
        <v>177</v>
      </c>
      <c r="C6" s="10" t="n">
        <v>150</v>
      </c>
      <c r="D6" s="33" t="str">
        <f aca="false">IF(B6&gt;=C6,"Oui","Non")</f>
        <v>Oui</v>
      </c>
      <c r="E6" s="6" t="s">
        <v>355</v>
      </c>
    </row>
    <row r="7" customFormat="false" ht="23.85" hidden="false" customHeight="false" outlineLevel="0" collapsed="false">
      <c r="A7" s="6" t="s">
        <v>356</v>
      </c>
      <c r="B7" s="8" t="n">
        <f aca="false">Données!$B$42</f>
        <v>0.81</v>
      </c>
      <c r="C7" s="8" t="n">
        <v>0.8</v>
      </c>
      <c r="D7" s="33" t="str">
        <f aca="false">IF(B7&gt;=C7,"Oui","Non")</f>
        <v>Oui</v>
      </c>
      <c r="E7" s="6" t="s">
        <v>357</v>
      </c>
    </row>
    <row r="8" customFormat="false" ht="23.85" hidden="false" customHeight="false" outlineLevel="0" collapsed="false">
      <c r="A8" s="6" t="s">
        <v>358</v>
      </c>
      <c r="B8" s="8" t="n">
        <f aca="false">Données!$B$43</f>
        <v>0.63</v>
      </c>
      <c r="C8" s="8" t="n">
        <v>0.6</v>
      </c>
      <c r="D8" s="33" t="str">
        <f aca="false">IF(B8&gt;=C8,"Oui","Non")</f>
        <v>Oui</v>
      </c>
      <c r="E8" s="6" t="s">
        <v>357</v>
      </c>
    </row>
    <row r="9" customFormat="false" ht="15" hidden="false" customHeight="false" outlineLevel="0" collapsed="false">
      <c r="A9" s="6" t="s">
        <v>359</v>
      </c>
      <c r="B9" s="10" t="n">
        <f aca="false">Données!$B$44</f>
        <v>37</v>
      </c>
      <c r="C9" s="10" t="n">
        <v>30</v>
      </c>
      <c r="D9" s="33" t="str">
        <f aca="false">IF(B9&gt;=C9,"Oui","Non")</f>
        <v>Oui</v>
      </c>
      <c r="E9" s="6" t="s">
        <v>360</v>
      </c>
    </row>
    <row r="10" customFormat="false" ht="15" hidden="false" customHeight="false" outlineLevel="0" collapsed="false">
      <c r="A10" s="6" t="s">
        <v>361</v>
      </c>
      <c r="B10" s="10" t="n">
        <f aca="false">Données!$B$45</f>
        <v>10</v>
      </c>
      <c r="C10" s="10" t="n">
        <v>10</v>
      </c>
      <c r="D10" s="33" t="str">
        <f aca="false">IF(B10&gt;=C10,"Oui","Non")</f>
        <v>Oui</v>
      </c>
      <c r="E10" s="6" t="s">
        <v>362</v>
      </c>
    </row>
    <row r="11" customFormat="false" ht="15" hidden="false" customHeight="false" outlineLevel="0" collapsed="false">
      <c r="A11" s="6" t="s">
        <v>29</v>
      </c>
      <c r="B11" s="10" t="n">
        <f aca="false">Données!$B$46</f>
        <v>0</v>
      </c>
      <c r="C11" s="10" t="n">
        <v>0</v>
      </c>
      <c r="D11" s="33" t="str">
        <f aca="false">IF(B11&lt;=C11,"Oui","Non")</f>
        <v>Oui</v>
      </c>
      <c r="E11" s="6" t="s">
        <v>362</v>
      </c>
    </row>
    <row r="12" customFormat="false" ht="15" hidden="false" customHeight="false" outlineLevel="0" collapsed="false">
      <c r="A12" s="23" t="s">
        <v>363</v>
      </c>
      <c r="B12" s="35" t="n">
        <f aca="false">COUNTIF(D6:D11,"Oui")</f>
        <v>6</v>
      </c>
      <c r="C12" s="35" t="n">
        <f aca="false">11-6+1</f>
        <v>6</v>
      </c>
      <c r="D12" s="31" t="n">
        <f aca="false">B12/C12</f>
        <v>1</v>
      </c>
      <c r="E12" s="23"/>
    </row>
    <row r="14" customFormat="false" ht="15" hidden="false" customHeight="false" outlineLevel="0" collapsed="false">
      <c r="A14" s="15" t="s">
        <v>364</v>
      </c>
    </row>
    <row r="15" customFormat="false" ht="27.75" hidden="false" customHeight="true" outlineLevel="0" collapsed="false">
      <c r="A15" s="4" t="s">
        <v>4</v>
      </c>
      <c r="B15" s="4" t="s">
        <v>6</v>
      </c>
      <c r="C15" s="4" t="s">
        <v>365</v>
      </c>
      <c r="D15" s="4" t="s">
        <v>366</v>
      </c>
      <c r="E15" s="4" t="s">
        <v>367</v>
      </c>
    </row>
    <row r="16" customFormat="false" ht="23.85" hidden="false" customHeight="false" outlineLevel="0" collapsed="false">
      <c r="A16" s="6" t="s">
        <v>368</v>
      </c>
      <c r="B16" s="33" t="s">
        <v>369</v>
      </c>
      <c r="C16" s="33" t="s">
        <v>370</v>
      </c>
      <c r="D16" s="33" t="s">
        <v>371</v>
      </c>
      <c r="E16" s="6" t="s">
        <v>372</v>
      </c>
    </row>
    <row r="17" customFormat="false" ht="23.85" hidden="false" customHeight="false" outlineLevel="0" collapsed="false">
      <c r="A17" s="6" t="s">
        <v>373</v>
      </c>
      <c r="B17" s="33" t="s">
        <v>374</v>
      </c>
      <c r="C17" s="33" t="s">
        <v>375</v>
      </c>
      <c r="D17" s="33" t="s">
        <v>376</v>
      </c>
      <c r="E17" s="6" t="s">
        <v>377</v>
      </c>
    </row>
    <row r="18" customFormat="false" ht="23.85" hidden="false" customHeight="false" outlineLevel="0" collapsed="false">
      <c r="A18" s="6" t="s">
        <v>378</v>
      </c>
      <c r="B18" s="33" t="s">
        <v>379</v>
      </c>
      <c r="C18" s="33" t="s">
        <v>380</v>
      </c>
      <c r="D18" s="33" t="s">
        <v>376</v>
      </c>
      <c r="E18" s="6" t="s">
        <v>381</v>
      </c>
    </row>
    <row r="19" customFormat="false" ht="15" hidden="false" customHeight="false" outlineLevel="0" collapsed="false">
      <c r="A19" s="6" t="s">
        <v>382</v>
      </c>
      <c r="B19" s="33" t="s">
        <v>383</v>
      </c>
      <c r="C19" s="33" t="s">
        <v>384</v>
      </c>
      <c r="D19" s="33" t="s">
        <v>371</v>
      </c>
      <c r="E19" s="6" t="s">
        <v>385</v>
      </c>
    </row>
    <row r="20" customFormat="false" ht="15" hidden="false" customHeight="false" outlineLevel="0" collapsed="false">
      <c r="A20" s="6" t="s">
        <v>386</v>
      </c>
      <c r="B20" s="33" t="s">
        <v>387</v>
      </c>
      <c r="C20" s="33" t="s">
        <v>380</v>
      </c>
      <c r="D20" s="33" t="s">
        <v>388</v>
      </c>
      <c r="E20" s="6" t="s">
        <v>389</v>
      </c>
    </row>
    <row r="22" customFormat="false" ht="15" hidden="false" customHeight="false" outlineLevel="0" collapsed="false">
      <c r="A22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2026-09-15T08:53:47Z</dcterms:created>
  <dc:creator>openpyxl</dc:creator>
  <dc:description/>
  <dc:language>en-US</dc:language>
  <cp:lastModifiedBy/>
  <dcterms:modified xsi:type="dcterms:W3CDTF">2026-09-15T08:53:50Z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